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550" windowHeight="10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<sst xmlns="http://schemas.openxmlformats.org/spreadsheetml/2006/main" count="326" uniqueCount="188">
  <si>
    <t>版本</t>
  </si>
  <si>
    <t>Abbr</t>
  </si>
  <si>
    <t>创建日期</t>
  </si>
  <si>
    <t>创建人</t>
  </si>
  <si>
    <t>术语中文释义</t>
  </si>
  <si>
    <t>术语英文释义</t>
  </si>
  <si>
    <t>中文术语</t>
  </si>
  <si>
    <t>英文术语</t>
  </si>
  <si>
    <t>西文术语</t>
  </si>
  <si>
    <t>俄文术语</t>
  </si>
  <si>
    <t>术语</t>
  </si>
  <si>
    <t>字符数</t>
  </si>
  <si>
    <t>测量</t>
  </si>
  <si>
    <t>1.0</t>
  </si>
  <si>
    <t>measurements</t>
  </si>
  <si>
    <t>薛宇</t>
  </si>
  <si>
    <t>Measurements</t>
  </si>
  <si>
    <t xml:space="preserve">测量 </t>
  </si>
  <si>
    <t>general</t>
  </si>
  <si>
    <t>2:: 测量/</t>
  </si>
  <si>
    <t>General</t>
  </si>
  <si>
    <t xml:space="preserve">通用 </t>
  </si>
  <si>
    <t>sq_comp</t>
  </si>
  <si>
    <t>2: 测量/</t>
  </si>
  <si>
    <t>Sequence components</t>
  </si>
  <si>
    <t>序分量</t>
  </si>
  <si>
    <t>Sequence Components</t>
  </si>
  <si>
    <t>harmonic</t>
  </si>
  <si>
    <t>Harmonic</t>
  </si>
  <si>
    <t xml:space="preserve">谐波 </t>
  </si>
  <si>
    <t>angle</t>
  </si>
  <si>
    <t>Angle</t>
  </si>
  <si>
    <t xml:space="preserve">角度 </t>
  </si>
  <si>
    <t>frequency</t>
  </si>
  <si>
    <t>Frequency</t>
  </si>
  <si>
    <t xml:space="preserve">频率 </t>
  </si>
  <si>
    <t>sync_mea</t>
  </si>
  <si>
    <t>Synchronization measurements</t>
  </si>
  <si>
    <t xml:space="preserve">同期测量 </t>
  </si>
  <si>
    <t>Synchrocheck Values</t>
  </si>
  <si>
    <t>power</t>
  </si>
  <si>
    <t>Power</t>
  </si>
  <si>
    <t xml:space="preserve">功率 </t>
  </si>
  <si>
    <t>energy</t>
  </si>
  <si>
    <t>Energy</t>
  </si>
  <si>
    <t xml:space="preserve">电能量 </t>
  </si>
  <si>
    <t>power_qua</t>
  </si>
  <si>
    <t>Power quality</t>
  </si>
  <si>
    <t xml:space="preserve">电能质量 </t>
  </si>
  <si>
    <t>Power Quality</t>
  </si>
  <si>
    <t>trans_val</t>
  </si>
  <si>
    <t>Transducer values</t>
  </si>
  <si>
    <t xml:space="preserve">传感器 </t>
  </si>
  <si>
    <t>Transducer Values</t>
  </si>
  <si>
    <t>dc_val</t>
  </si>
  <si>
    <t>DC output values</t>
  </si>
  <si>
    <t xml:space="preserve">直流输出 </t>
  </si>
  <si>
    <t>DC Outputs</t>
  </si>
  <si>
    <t>ad2_mea</t>
  </si>
  <si>
    <t>AD group 2 measurements</t>
  </si>
  <si>
    <t>第二组AD测量</t>
  </si>
  <si>
    <t>Group 2 AD Measurements</t>
  </si>
  <si>
    <t>状态</t>
  </si>
  <si>
    <t>status</t>
  </si>
  <si>
    <t>Status</t>
  </si>
  <si>
    <t xml:space="preserve">状态 </t>
  </si>
  <si>
    <t>State</t>
  </si>
  <si>
    <t>bi_in</t>
  </si>
  <si>
    <t>2: 状态/</t>
  </si>
  <si>
    <t>Binary inputs</t>
  </si>
  <si>
    <t xml:space="preserve">输入 </t>
  </si>
  <si>
    <t>Inputs</t>
  </si>
  <si>
    <t>gen_in</t>
  </si>
  <si>
    <t>3: 状态/输入/</t>
  </si>
  <si>
    <t>general inputs</t>
  </si>
  <si>
    <t>通用开入</t>
  </si>
  <si>
    <t>General Inputs</t>
  </si>
  <si>
    <t>tap_pos</t>
  </si>
  <si>
    <r>
      <rPr>
        <sz val="11"/>
        <color rgb="FF000000"/>
        <rFont val="Arial"/>
        <charset val="134"/>
      </rPr>
      <t xml:space="preserve">3: </t>
    </r>
    <r>
      <rPr>
        <sz val="11"/>
        <color rgb="FF000000"/>
        <rFont val="宋体"/>
        <charset val="134"/>
      </rPr>
      <t>状态</t>
    </r>
    <r>
      <rPr>
        <sz val="11"/>
        <color rgb="FF000000"/>
        <rFont val="Arial"/>
        <charset val="134"/>
      </rPr>
      <t>/</t>
    </r>
    <r>
      <rPr>
        <sz val="11"/>
        <color rgb="FF000000"/>
        <rFont val="宋体"/>
        <charset val="134"/>
      </rPr>
      <t>输入</t>
    </r>
    <r>
      <rPr>
        <sz val="11"/>
        <color rgb="FF000000"/>
        <rFont val="Arial"/>
        <charset val="134"/>
      </rPr>
      <t>/</t>
    </r>
  </si>
  <si>
    <t>Tap position</t>
  </si>
  <si>
    <t xml:space="preserve">档位 </t>
  </si>
  <si>
    <t>Tap Position</t>
  </si>
  <si>
    <t>goose_in</t>
  </si>
  <si>
    <t>GOOSE inputs</t>
  </si>
  <si>
    <t xml:space="preserve">GOOSE输入 </t>
  </si>
  <si>
    <t>GOOSE Inputs</t>
  </si>
  <si>
    <t>bi_out</t>
  </si>
  <si>
    <t>2 状态/</t>
  </si>
  <si>
    <t>Binary outputs</t>
  </si>
  <si>
    <t xml:space="preserve">输出 </t>
  </si>
  <si>
    <t>Outputs</t>
  </si>
  <si>
    <t>actions</t>
  </si>
  <si>
    <t>3: 状态/输出/</t>
  </si>
  <si>
    <t>Actions</t>
  </si>
  <si>
    <t>动作状态</t>
  </si>
  <si>
    <t>intlock_info</t>
  </si>
  <si>
    <t>Interlock information</t>
  </si>
  <si>
    <t>联闭锁状态</t>
  </si>
  <si>
    <t>Interlock State</t>
  </si>
  <si>
    <t>dpos_sta</t>
  </si>
  <si>
    <t>Double position</t>
  </si>
  <si>
    <t>双位置状态</t>
  </si>
  <si>
    <t>Double Position</t>
  </si>
  <si>
    <t>self_chk</t>
  </si>
  <si>
    <t>Selfcheck information</t>
  </si>
  <si>
    <t>自检状态</t>
  </si>
  <si>
    <t>Supervision State</t>
  </si>
  <si>
    <t>run_sta</t>
  </si>
  <si>
    <t>Operational status</t>
  </si>
  <si>
    <t xml:space="preserve">运行状态 </t>
  </si>
  <si>
    <t>Running State</t>
  </si>
  <si>
    <t>comm_sta</t>
  </si>
  <si>
    <t>Communication status</t>
  </si>
  <si>
    <t xml:space="preserve">通信状态 </t>
  </si>
  <si>
    <t>Communication State</t>
  </si>
  <si>
    <t>goose_out</t>
  </si>
  <si>
    <r>
      <rPr>
        <sz val="11"/>
        <color rgb="FF000000"/>
        <rFont val="Arial"/>
        <charset val="134"/>
      </rPr>
      <t xml:space="preserve">3: </t>
    </r>
    <r>
      <rPr>
        <sz val="11"/>
        <color rgb="FF000000"/>
        <rFont val="宋体"/>
        <charset val="134"/>
      </rPr>
      <t>状态</t>
    </r>
    <r>
      <rPr>
        <sz val="11"/>
        <color rgb="FF000000"/>
        <rFont val="Arial"/>
        <charset val="134"/>
      </rPr>
      <t>/</t>
    </r>
    <r>
      <rPr>
        <sz val="11"/>
        <color rgb="FF000000"/>
        <rFont val="宋体"/>
        <charset val="134"/>
      </rPr>
      <t>输出</t>
    </r>
    <r>
      <rPr>
        <sz val="11"/>
        <color rgb="FF000000"/>
        <rFont val="Arial"/>
        <charset val="134"/>
      </rPr>
      <t>/</t>
    </r>
  </si>
  <si>
    <t>GOOSE outputs</t>
  </si>
  <si>
    <t>GOOSE输出</t>
  </si>
  <si>
    <t>GOOSE Outputs</t>
  </si>
  <si>
    <t>日志</t>
  </si>
  <si>
    <t>logs</t>
  </si>
  <si>
    <t>Logs</t>
  </si>
  <si>
    <t xml:space="preserve">日志 </t>
  </si>
  <si>
    <t>bi_chg_log</t>
  </si>
  <si>
    <t>2: 日志/</t>
  </si>
  <si>
    <t>Binary change information</t>
  </si>
  <si>
    <t xml:space="preserve">变位日志 </t>
  </si>
  <si>
    <t>Binary Change Logs</t>
  </si>
  <si>
    <t>self_chk_log</t>
  </si>
  <si>
    <t>Selfcheck log</t>
  </si>
  <si>
    <t xml:space="preserve">自检日志 </t>
  </si>
  <si>
    <t>Supervision logs</t>
  </si>
  <si>
    <t>fault_log</t>
  </si>
  <si>
    <t>Fault log</t>
  </si>
  <si>
    <t xml:space="preserve">故障日志 </t>
  </si>
  <si>
    <t>Fault Logs</t>
  </si>
  <si>
    <t>oper_log</t>
  </si>
  <si>
    <t>Operate log</t>
  </si>
  <si>
    <t xml:space="preserve">操作日志 </t>
  </si>
  <si>
    <t>Operating Logs</t>
  </si>
  <si>
    <t>dev_log</t>
  </si>
  <si>
    <t>Device log</t>
  </si>
  <si>
    <t xml:space="preserve">装置日志 </t>
  </si>
  <si>
    <t>Device Running Logs</t>
  </si>
  <si>
    <t>audit_log</t>
  </si>
  <si>
    <t>audit log</t>
  </si>
  <si>
    <t>审计日志</t>
  </si>
  <si>
    <t>Audit Logs</t>
  </si>
  <si>
    <t>soe_log</t>
  </si>
  <si>
    <t>SOE</t>
  </si>
  <si>
    <t>定值</t>
  </si>
  <si>
    <t>settings</t>
  </si>
  <si>
    <t>Settings</t>
  </si>
  <si>
    <t xml:space="preserve">定值 </t>
  </si>
  <si>
    <t>equi_para</t>
  </si>
  <si>
    <t>2: 定值/</t>
  </si>
  <si>
    <t>Equipment</t>
  </si>
  <si>
    <t xml:space="preserve">设备参数 </t>
  </si>
  <si>
    <t>System Settings</t>
  </si>
  <si>
    <t>pro_set</t>
  </si>
  <si>
    <t>Protection</t>
  </si>
  <si>
    <t xml:space="preserve">保护定值 </t>
  </si>
  <si>
    <t>Protection Settings</t>
  </si>
  <si>
    <t>mea_set</t>
  </si>
  <si>
    <t>Measurment</t>
  </si>
  <si>
    <t>Measurement Settings</t>
  </si>
  <si>
    <t>gen_set</t>
  </si>
  <si>
    <t>3: 定值/测量定值</t>
  </si>
  <si>
    <t>general settings</t>
  </si>
  <si>
    <t>通用定值</t>
  </si>
  <si>
    <t>General Settings</t>
  </si>
  <si>
    <t>sync_set</t>
  </si>
  <si>
    <t>Synchronization settings</t>
  </si>
  <si>
    <t xml:space="preserve">同期 </t>
  </si>
  <si>
    <t>Synchrocheck</t>
  </si>
  <si>
    <t>power_set</t>
  </si>
  <si>
    <t>Power settings</t>
  </si>
  <si>
    <t>energy_set</t>
  </si>
  <si>
    <t>Energy settings</t>
  </si>
  <si>
    <t xml:space="preserve">计量 </t>
  </si>
  <si>
    <t>trans_set</t>
  </si>
  <si>
    <t>Transducer settings</t>
  </si>
  <si>
    <t>intlock_set</t>
  </si>
  <si>
    <r>
      <rPr>
        <sz val="11"/>
        <color rgb="FF000000"/>
        <rFont val="Arial"/>
        <charset val="134"/>
      </rPr>
      <t xml:space="preserve">3: </t>
    </r>
    <r>
      <rPr>
        <sz val="11"/>
        <color rgb="FF000000"/>
        <rFont val="宋体"/>
        <charset val="134"/>
      </rPr>
      <t>定值</t>
    </r>
    <r>
      <rPr>
        <sz val="11"/>
        <color rgb="FF000000"/>
        <rFont val="Arial"/>
        <charset val="134"/>
      </rPr>
      <t>/</t>
    </r>
    <r>
      <rPr>
        <sz val="11"/>
        <color rgb="FF000000"/>
        <rFont val="宋体"/>
        <charset val="134"/>
      </rPr>
      <t>控制</t>
    </r>
  </si>
  <si>
    <t>Interlock settings</t>
  </si>
  <si>
    <t xml:space="preserve">联闭锁 </t>
  </si>
  <si>
    <t>Interlock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</si>
</sst>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sz val="11"/>
      <color rgb="FF000000"/>
      <name val="Arial"/>
      <charset val="134"/>
    </font>
    <font>
      <sz val="12"/>
      <color theme="1"/>
      <name val="宋体"/>
      <charset val="134"/>
      <scheme val="minor"/>
    </font>
    <font>
      <b/>
      <sz val="11"/>
      <color rgb="FF000000"/>
      <name val="宋体"/>
      <charset val="134"/>
    </font>
    <font>
      <b/>
      <sz val="11"/>
      <color rgb="FF000000"/>
      <name val="Arial"/>
      <charset val="134"/>
    </font>
    <font>
      <b/>
      <sz val="11"/>
      <color rgb="FF000000"/>
      <name val="Times New Roman"/>
      <charset val="134"/>
    </font>
    <font>
      <b/>
      <sz val="11"/>
      <name val="Arial"/>
      <charset val="134"/>
    </font>
    <font>
      <sz val="11"/>
      <name val="Arial"/>
      <charset val="134"/>
    </font>
    <font>
      <sz val="11"/>
      <color rgb="FFFF0000"/>
      <name val="Arial"/>
      <charset val="134"/>
    </font>
    <font>
      <b/>
      <sz val="11"/>
      <color rgb="FFFF000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5E0B4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DD6EE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7" borderId="1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8" borderId="4" applyNumberFormat="0" applyAlignment="0" applyProtection="0">
      <alignment vertical="center"/>
    </xf>
    <xf numFmtId="0" fontId="20" fillId="9" borderId="5" applyNumberFormat="0" applyAlignment="0" applyProtection="0">
      <alignment vertical="center"/>
    </xf>
    <xf numFmtId="0" fontId="21" fillId="9" borderId="4" applyNumberFormat="0" applyAlignment="0" applyProtection="0">
      <alignment vertical="center"/>
    </xf>
    <xf numFmtId="0" fontId="22" fillId="10" borderId="6" applyNumberFormat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3" fillId="3" borderId="0" xfId="0" applyFont="1" applyFill="1" applyAlignment="1">
      <alignment vertical="center"/>
    </xf>
    <xf numFmtId="0" fontId="3" fillId="4" borderId="0" xfId="0" applyFont="1" applyFill="1" applyAlignment="1">
      <alignment vertical="center"/>
    </xf>
    <xf numFmtId="0" fontId="4" fillId="5" borderId="0" xfId="0" applyFont="1" applyFill="1" applyAlignment="1" applyProtection="1">
      <alignment horizontal="center" vertical="center"/>
      <protection locked="0"/>
    </xf>
    <xf numFmtId="0" fontId="4" fillId="5" borderId="0" xfId="0" applyFont="1" applyFill="1" applyAlignment="1">
      <alignment horizontal="center" vertical="center"/>
    </xf>
    <xf numFmtId="0" fontId="4" fillId="5" borderId="0" xfId="0" applyFont="1" applyFill="1" applyAlignment="1" applyProtection="1">
      <alignment horizontal="center" vertical="center"/>
    </xf>
    <xf numFmtId="0" fontId="4" fillId="2" borderId="0" xfId="0" applyFont="1" applyFill="1" applyAlignment="1" applyProtection="1">
      <alignment horizontal="left" vertical="center"/>
      <protection locked="0" hidden="1"/>
    </xf>
    <xf numFmtId="0" fontId="5" fillId="2" borderId="0" xfId="0" applyFont="1" applyFill="1" applyAlignment="1" applyProtection="1">
      <alignment horizontal="left" vertical="center"/>
      <protection locked="0"/>
    </xf>
    <xf numFmtId="14" fontId="2" fillId="2" borderId="0" xfId="0" applyNumberFormat="1" applyFont="1" applyFill="1" applyAlignment="1" applyProtection="1">
      <alignment vertical="center"/>
      <protection locked="0" hidden="1"/>
    </xf>
    <xf numFmtId="0" fontId="4" fillId="2" borderId="0" xfId="0" applyFont="1" applyFill="1" applyAlignment="1" applyProtection="1">
      <alignment horizontal="left" vertical="center"/>
      <protection locked="0"/>
    </xf>
    <xf numFmtId="0" fontId="6" fillId="2" borderId="0" xfId="0" applyFont="1" applyFill="1" applyAlignment="1" applyProtection="1">
      <alignment horizontal="left" vertical="center"/>
      <protection locked="0"/>
    </xf>
    <xf numFmtId="0" fontId="4" fillId="2" borderId="0" xfId="0" applyFont="1" applyFill="1" applyAlignment="1" applyProtection="1">
      <alignment horizontal="left" vertical="center"/>
    </xf>
    <xf numFmtId="0" fontId="2" fillId="2" borderId="0" xfId="0" applyFont="1" applyFill="1" applyAlignment="1" applyProtection="1">
      <alignment vertical="center"/>
      <protection hidden="1"/>
    </xf>
    <xf numFmtId="0" fontId="2" fillId="3" borderId="0" xfId="0" applyFont="1" applyFill="1" applyAlignment="1" applyProtection="1">
      <alignment vertical="center"/>
      <protection locked="0" hidden="1"/>
    </xf>
    <xf numFmtId="0" fontId="2" fillId="3" borderId="0" xfId="0" applyFont="1" applyFill="1" applyAlignment="1" applyProtection="1">
      <alignment vertical="center"/>
      <protection locked="0"/>
    </xf>
    <xf numFmtId="14" fontId="2" fillId="3" borderId="0" xfId="0" applyNumberFormat="1" applyFont="1" applyFill="1" applyAlignment="1" applyProtection="1">
      <alignment vertical="center"/>
      <protection locked="0" hidden="1"/>
    </xf>
    <xf numFmtId="0" fontId="1" fillId="3" borderId="0" xfId="0" applyFont="1" applyFill="1" applyAlignment="1" applyProtection="1">
      <alignment vertical="center"/>
      <protection locked="0"/>
    </xf>
    <xf numFmtId="0" fontId="2" fillId="3" borderId="0" xfId="0" applyFont="1" applyFill="1" applyAlignment="1" applyProtection="1">
      <alignment horizontal="left" vertical="center"/>
      <protection locked="0"/>
    </xf>
    <xf numFmtId="0" fontId="1" fillId="3" borderId="0" xfId="0" applyFont="1" applyFill="1" applyAlignment="1" applyProtection="1">
      <alignment vertical="center"/>
    </xf>
    <xf numFmtId="0" fontId="2" fillId="3" borderId="0" xfId="0" applyFont="1" applyFill="1" applyAlignment="1" applyProtection="1">
      <alignment vertical="center"/>
      <protection hidden="1"/>
    </xf>
    <xf numFmtId="0" fontId="2" fillId="4" borderId="0" xfId="0" applyFont="1" applyFill="1" applyAlignment="1" applyProtection="1">
      <alignment vertical="center"/>
      <protection locked="0" hidden="1"/>
    </xf>
    <xf numFmtId="0" fontId="2" fillId="4" borderId="0" xfId="0" applyFont="1" applyFill="1" applyAlignment="1" applyProtection="1">
      <alignment vertical="center"/>
      <protection locked="0"/>
    </xf>
    <xf numFmtId="14" fontId="2" fillId="4" borderId="0" xfId="0" applyNumberFormat="1" applyFont="1" applyFill="1" applyAlignment="1" applyProtection="1">
      <alignment vertical="center"/>
      <protection locked="0" hidden="1"/>
    </xf>
    <xf numFmtId="0" fontId="1" fillId="4" borderId="0" xfId="0" applyFont="1" applyFill="1" applyAlignment="1" applyProtection="1">
      <alignment vertical="center"/>
      <protection locked="0"/>
    </xf>
    <xf numFmtId="0" fontId="2" fillId="4" borderId="0" xfId="0" applyFont="1" applyFill="1" applyAlignment="1" applyProtection="1">
      <alignment horizontal="left" vertical="center"/>
      <protection locked="0"/>
    </xf>
    <xf numFmtId="0" fontId="1" fillId="4" borderId="0" xfId="0" applyFont="1" applyFill="1" applyAlignment="1" applyProtection="1">
      <alignment vertical="center"/>
    </xf>
    <xf numFmtId="0" fontId="2" fillId="4" borderId="0" xfId="0" applyFont="1" applyFill="1" applyAlignment="1" applyProtection="1">
      <alignment vertical="center"/>
      <protection hidden="1"/>
    </xf>
    <xf numFmtId="0" fontId="5" fillId="2" borderId="0" xfId="0" applyFont="1" applyFill="1" applyAlignment="1" applyProtection="1">
      <alignment horizontal="left" vertical="center"/>
    </xf>
    <xf numFmtId="0" fontId="2" fillId="2" borderId="0" xfId="0" applyFont="1" applyFill="1" applyAlignment="1" applyProtection="1">
      <alignment vertical="center"/>
      <protection locked="0"/>
    </xf>
    <xf numFmtId="0" fontId="2" fillId="2" borderId="0" xfId="0" applyFont="1" applyFill="1" applyAlignment="1" applyProtection="1">
      <alignment vertical="center"/>
      <protection locked="0" hidden="1"/>
    </xf>
    <xf numFmtId="0" fontId="2" fillId="3" borderId="0" xfId="0" applyFont="1" applyFill="1" applyAlignment="1" applyProtection="1">
      <alignment vertical="center"/>
    </xf>
    <xf numFmtId="0" fontId="2" fillId="3" borderId="0" xfId="0" applyFont="1" applyFill="1" applyAlignment="1">
      <alignment vertical="center"/>
    </xf>
    <xf numFmtId="0" fontId="7" fillId="2" borderId="0" xfId="0" applyFont="1" applyFill="1" applyAlignment="1" applyProtection="1">
      <alignment horizontal="left" vertical="center"/>
    </xf>
    <xf numFmtId="0" fontId="8" fillId="3" borderId="0" xfId="0" applyFont="1" applyFill="1" applyAlignment="1" applyProtection="1">
      <alignment vertical="center"/>
    </xf>
    <xf numFmtId="0" fontId="2" fillId="4" borderId="0" xfId="0" applyFont="1" applyFill="1" applyAlignment="1" applyProtection="1">
      <alignment vertical="center"/>
    </xf>
    <xf numFmtId="0" fontId="2" fillId="4" borderId="0" xfId="0" applyFont="1" applyFill="1" applyAlignment="1">
      <alignment vertical="center"/>
    </xf>
    <xf numFmtId="0" fontId="9" fillId="3" borderId="0" xfId="0" applyFont="1" applyFill="1" applyAlignment="1" applyProtection="1">
      <alignment vertical="center"/>
      <protection locked="0"/>
    </xf>
    <xf numFmtId="0" fontId="10" fillId="2" borderId="0" xfId="0" applyFont="1" applyFill="1" applyAlignment="1" applyProtection="1">
      <alignment horizontal="left" vertical="center"/>
      <protection locked="0"/>
    </xf>
    <xf numFmtId="0" fontId="2" fillId="6" borderId="0" xfId="0" applyFont="1" applyFill="1" applyAlignment="1" applyProtection="1">
      <alignment vertical="center"/>
    </xf>
    <xf numFmtId="0" fontId="2" fillId="3" borderId="0" xfId="0" applyFont="1" applyFill="1" applyAlignment="1" applyProtection="1" quotePrefix="1">
      <alignment vertical="center"/>
      <protection locked="0" hidden="1"/>
    </xf>
    <xf numFmtId="0" fontId="2" fillId="4" borderId="0" xfId="0" applyFont="1" applyFill="1" applyAlignment="1" applyProtection="1" quotePrefix="1">
      <alignment vertical="center"/>
      <protection locked="0" hidden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M50"/>
  <sheetViews>
    <sheetView tabSelected="1" workbookViewId="0">
      <selection activeCell="A1" sqref="$A1:$XFD50"/>
    </sheetView>
  </sheetViews>
  <sheetFormatPr defaultColWidth="8.72727272727273" defaultRowHeight="14"/>
  <sheetData>
    <row r="1" s="1" customFormat="1" ht="14.5" customHeight="1" spans="1:14">
      <c r="A1" s="5" t="s">
        <v>0</v>
      </c>
      <c r="B1" s="5" t="s">
        <v>1</v>
      </c>
      <c r="C1" s="5" t="s">
        <v>2</v>
      </c>
      <c r="D1" s="5" t="s">
        <v>3</v>
      </c>
      <c r="E1" s="6" t="s">
        <v>4</v>
      </c>
      <c r="F1" s="6" t="s">
        <v>5</v>
      </c>
      <c r="G1" s="7" t="s">
        <v>6</v>
      </c>
      <c r="H1" s="7"/>
      <c r="I1" s="7" t="s">
        <v>7</v>
      </c>
      <c r="J1" s="7"/>
      <c r="K1" s="5" t="s">
        <v>8</v>
      </c>
      <c r="L1" s="5"/>
      <c r="M1" s="5" t="s">
        <v>9</v>
      </c>
      <c r="N1" s="5"/>
    </row>
    <row r="2" s="1" customFormat="1" ht="14.5" customHeight="1" spans="1:14">
      <c r="A2" s="5"/>
      <c r="B2" s="5"/>
      <c r="C2" s="5"/>
      <c r="D2" s="5"/>
      <c r="E2" s="6"/>
      <c r="F2" s="6"/>
      <c r="G2" s="7" t="s">
        <v>10</v>
      </c>
      <c r="H2" s="7" t="s">
        <v>11</v>
      </c>
      <c r="I2" s="7" t="s">
        <v>10</v>
      </c>
      <c r="J2" s="7" t="s">
        <v>11</v>
      </c>
      <c r="K2" s="5" t="s">
        <v>10</v>
      </c>
      <c r="L2" s="5" t="s">
        <v>11</v>
      </c>
      <c r="M2" s="5" t="s">
        <v>10</v>
      </c>
      <c r="N2" s="5" t="s">
        <v>11</v>
      </c>
    </row>
    <row r="3" s="2" customFormat="1" ht="14.5" customHeight="1" spans="1:18">
      <c r="A3" s="8" t="s">
        <v>12</v>
      </c>
      <c r="B3" s="9"/>
      <c r="C3" s="10"/>
      <c r="D3" s="11"/>
      <c r="E3" s="12"/>
      <c r="F3" s="12"/>
      <c r="G3" s="13"/>
      <c r="H3" s="14"/>
      <c r="I3" s="29"/>
      <c r="J3" s="29"/>
      <c r="K3" s="9"/>
      <c r="L3" s="30"/>
      <c r="M3" s="9"/>
      <c r="N3" s="30"/>
      <c r="O3" s="9"/>
      <c r="P3" s="31"/>
      <c r="Q3" s="9"/>
      <c r="R3" s="31"/>
    </row>
    <row r="4" s="3" customFormat="1" ht="14.5" customHeight="1" spans="1:39">
      <c r="A4" s="41" t="s">
        <v>13</v>
      </c>
      <c r="B4" s="16" t="s">
        <v>14</v>
      </c>
      <c r="C4" s="17">
        <f ca="1" t="shared" ref="C4:C16" si="0">IF(B4="","",IF(C4&lt;&gt;"",C4,NOW()))</f>
        <v>0</v>
      </c>
      <c r="D4" s="18" t="s">
        <v>15</v>
      </c>
      <c r="E4" s="19">
        <v>1</v>
      </c>
      <c r="F4" s="16" t="s">
        <v>16</v>
      </c>
      <c r="G4" s="20" t="s">
        <v>17</v>
      </c>
      <c r="H4" s="21">
        <f t="shared" ref="H4:H16" si="1">LEN(G4)</f>
        <v>3</v>
      </c>
      <c r="I4" s="32" t="s">
        <v>16</v>
      </c>
      <c r="J4" s="32">
        <f t="shared" ref="J4:J16" si="2">LEN(I4)</f>
        <v>12</v>
      </c>
      <c r="K4" s="16"/>
      <c r="L4" s="16"/>
      <c r="M4" s="16"/>
      <c r="N4" s="16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  <c r="AC4" s="33"/>
      <c r="AD4" s="33"/>
      <c r="AE4" s="33"/>
      <c r="AF4" s="33"/>
      <c r="AG4" s="33"/>
      <c r="AH4" s="33"/>
      <c r="AI4" s="33"/>
      <c r="AJ4" s="33"/>
      <c r="AK4" s="33"/>
      <c r="AL4" s="33"/>
      <c r="AM4" s="33"/>
    </row>
    <row r="5" s="3" customFormat="1" ht="14.5" customHeight="1" spans="1:39">
      <c r="A5" s="41" t="s">
        <v>13</v>
      </c>
      <c r="B5" s="16" t="s">
        <v>18</v>
      </c>
      <c r="C5" s="17">
        <f ca="1" t="shared" si="0"/>
        <v>0</v>
      </c>
      <c r="D5" s="18" t="s">
        <v>15</v>
      </c>
      <c r="E5" s="19" t="s">
        <v>19</v>
      </c>
      <c r="F5" s="16" t="s">
        <v>20</v>
      </c>
      <c r="G5" s="20" t="s">
        <v>21</v>
      </c>
      <c r="H5" s="21">
        <f t="shared" si="1"/>
        <v>3</v>
      </c>
      <c r="I5" s="32" t="s">
        <v>20</v>
      </c>
      <c r="J5" s="32">
        <f t="shared" si="2"/>
        <v>7</v>
      </c>
      <c r="K5" s="16"/>
      <c r="L5" s="16"/>
      <c r="M5" s="16"/>
      <c r="N5" s="16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3"/>
      <c r="AJ5" s="33"/>
      <c r="AK5" s="33"/>
      <c r="AL5" s="33"/>
      <c r="AM5" s="33"/>
    </row>
    <row r="6" s="3" customFormat="1" ht="14.5" customHeight="1" spans="1:39">
      <c r="A6" s="41" t="s">
        <v>13</v>
      </c>
      <c r="B6" s="16" t="s">
        <v>22</v>
      </c>
      <c r="C6" s="17">
        <f ca="1" t="shared" si="0"/>
        <v>0</v>
      </c>
      <c r="D6" s="18" t="s">
        <v>15</v>
      </c>
      <c r="E6" s="19" t="s">
        <v>23</v>
      </c>
      <c r="F6" s="16" t="s">
        <v>24</v>
      </c>
      <c r="G6" s="20" t="s">
        <v>25</v>
      </c>
      <c r="H6" s="21">
        <f t="shared" si="1"/>
        <v>3</v>
      </c>
      <c r="I6" s="32" t="s">
        <v>26</v>
      </c>
      <c r="J6" s="32">
        <f t="shared" si="2"/>
        <v>19</v>
      </c>
      <c r="K6" s="16"/>
      <c r="L6" s="16"/>
      <c r="M6" s="16"/>
      <c r="N6" s="16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</row>
    <row r="7" s="3" customFormat="1" ht="14.5" customHeight="1" spans="1:39">
      <c r="A7" s="41" t="s">
        <v>13</v>
      </c>
      <c r="B7" s="16" t="s">
        <v>27</v>
      </c>
      <c r="C7" s="17">
        <f ca="1" t="shared" si="0"/>
        <v>0</v>
      </c>
      <c r="D7" s="18" t="s">
        <v>15</v>
      </c>
      <c r="E7" s="19" t="s">
        <v>23</v>
      </c>
      <c r="F7" s="16" t="s">
        <v>28</v>
      </c>
      <c r="G7" s="20" t="s">
        <v>29</v>
      </c>
      <c r="H7" s="21">
        <f t="shared" si="1"/>
        <v>3</v>
      </c>
      <c r="I7" s="32" t="s">
        <v>28</v>
      </c>
      <c r="J7" s="32">
        <f t="shared" si="2"/>
        <v>8</v>
      </c>
      <c r="K7" s="16"/>
      <c r="L7" s="16"/>
      <c r="M7" s="16"/>
      <c r="N7" s="16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</row>
    <row r="8" s="3" customFormat="1" ht="14.5" customHeight="1" spans="1:39">
      <c r="A8" s="41" t="s">
        <v>13</v>
      </c>
      <c r="B8" s="16" t="s">
        <v>30</v>
      </c>
      <c r="C8" s="17">
        <f ca="1" t="shared" si="0"/>
        <v>0</v>
      </c>
      <c r="D8" s="18" t="s">
        <v>15</v>
      </c>
      <c r="E8" s="19" t="s">
        <v>23</v>
      </c>
      <c r="F8" s="16" t="s">
        <v>31</v>
      </c>
      <c r="G8" s="20" t="s">
        <v>32</v>
      </c>
      <c r="H8" s="21">
        <f t="shared" si="1"/>
        <v>3</v>
      </c>
      <c r="I8" s="32" t="s">
        <v>31</v>
      </c>
      <c r="J8" s="32">
        <f t="shared" si="2"/>
        <v>5</v>
      </c>
      <c r="K8" s="16"/>
      <c r="L8" s="16"/>
      <c r="M8" s="16"/>
      <c r="N8" s="16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</row>
    <row r="9" s="3" customFormat="1" ht="14.5" customHeight="1" spans="1:39">
      <c r="A9" s="41" t="s">
        <v>13</v>
      </c>
      <c r="B9" s="16" t="s">
        <v>33</v>
      </c>
      <c r="C9" s="17">
        <f ca="1" t="shared" si="0"/>
        <v>0</v>
      </c>
      <c r="D9" s="18" t="s">
        <v>15</v>
      </c>
      <c r="E9" s="19" t="s">
        <v>23</v>
      </c>
      <c r="F9" s="16" t="s">
        <v>34</v>
      </c>
      <c r="G9" s="20" t="s">
        <v>35</v>
      </c>
      <c r="H9" s="21">
        <f t="shared" si="1"/>
        <v>3</v>
      </c>
      <c r="I9" s="32" t="s">
        <v>34</v>
      </c>
      <c r="J9" s="32">
        <f t="shared" si="2"/>
        <v>9</v>
      </c>
      <c r="K9" s="16"/>
      <c r="L9" s="16"/>
      <c r="M9" s="16"/>
      <c r="N9" s="16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</row>
    <row r="10" s="3" customFormat="1" ht="14.5" customHeight="1" spans="1:39">
      <c r="A10" s="41" t="s">
        <v>13</v>
      </c>
      <c r="B10" s="16" t="s">
        <v>36</v>
      </c>
      <c r="C10" s="17">
        <f ca="1" t="shared" si="0"/>
        <v>0</v>
      </c>
      <c r="D10" s="18" t="s">
        <v>15</v>
      </c>
      <c r="E10" s="19" t="s">
        <v>23</v>
      </c>
      <c r="F10" s="16" t="s">
        <v>37</v>
      </c>
      <c r="G10" s="20" t="s">
        <v>38</v>
      </c>
      <c r="H10" s="21">
        <f t="shared" si="1"/>
        <v>5</v>
      </c>
      <c r="I10" s="32" t="s">
        <v>39</v>
      </c>
      <c r="J10" s="32">
        <f t="shared" si="2"/>
        <v>19</v>
      </c>
      <c r="K10" s="16"/>
      <c r="L10" s="16"/>
      <c r="M10" s="16"/>
      <c r="N10" s="16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</row>
    <row r="11" s="3" customFormat="1" ht="14.5" customHeight="1" spans="1:39">
      <c r="A11" s="41" t="s">
        <v>13</v>
      </c>
      <c r="B11" s="16" t="s">
        <v>40</v>
      </c>
      <c r="C11" s="17">
        <f ca="1" t="shared" si="0"/>
        <v>0</v>
      </c>
      <c r="D11" s="18" t="s">
        <v>15</v>
      </c>
      <c r="E11" s="19" t="s">
        <v>23</v>
      </c>
      <c r="F11" s="16" t="s">
        <v>41</v>
      </c>
      <c r="G11" s="20" t="s">
        <v>42</v>
      </c>
      <c r="H11" s="21">
        <f t="shared" si="1"/>
        <v>3</v>
      </c>
      <c r="I11" s="32" t="s">
        <v>41</v>
      </c>
      <c r="J11" s="32">
        <f t="shared" si="2"/>
        <v>5</v>
      </c>
      <c r="K11" s="16"/>
      <c r="L11" s="16"/>
      <c r="M11" s="16"/>
      <c r="N11" s="16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33"/>
    </row>
    <row r="12" s="3" customFormat="1" ht="14.5" customHeight="1" spans="1:39">
      <c r="A12" s="41" t="s">
        <v>13</v>
      </c>
      <c r="B12" s="16" t="s">
        <v>43</v>
      </c>
      <c r="C12" s="17">
        <f ca="1" t="shared" si="0"/>
        <v>0</v>
      </c>
      <c r="D12" s="18" t="s">
        <v>15</v>
      </c>
      <c r="E12" s="19" t="s">
        <v>23</v>
      </c>
      <c r="F12" s="16" t="s">
        <v>44</v>
      </c>
      <c r="G12" s="20" t="s">
        <v>45</v>
      </c>
      <c r="H12" s="21">
        <f t="shared" si="1"/>
        <v>4</v>
      </c>
      <c r="I12" s="32" t="s">
        <v>44</v>
      </c>
      <c r="J12" s="32">
        <f t="shared" si="2"/>
        <v>6</v>
      </c>
      <c r="K12" s="16"/>
      <c r="L12" s="16"/>
      <c r="M12" s="16"/>
      <c r="N12" s="16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  <c r="AI12" s="33"/>
      <c r="AJ12" s="33"/>
      <c r="AK12" s="33"/>
      <c r="AL12" s="33"/>
      <c r="AM12" s="33"/>
    </row>
    <row r="13" s="3" customFormat="1" ht="14.5" customHeight="1" spans="1:39">
      <c r="A13" s="41" t="s">
        <v>13</v>
      </c>
      <c r="B13" s="16" t="s">
        <v>46</v>
      </c>
      <c r="C13" s="17">
        <f ca="1" t="shared" si="0"/>
        <v>0</v>
      </c>
      <c r="D13" s="18" t="s">
        <v>15</v>
      </c>
      <c r="E13" s="19" t="s">
        <v>23</v>
      </c>
      <c r="F13" s="16" t="s">
        <v>47</v>
      </c>
      <c r="G13" s="20" t="s">
        <v>48</v>
      </c>
      <c r="H13" s="21">
        <f t="shared" si="1"/>
        <v>5</v>
      </c>
      <c r="I13" s="32" t="s">
        <v>49</v>
      </c>
      <c r="J13" s="32">
        <f t="shared" si="2"/>
        <v>13</v>
      </c>
      <c r="K13" s="16"/>
      <c r="L13" s="16"/>
      <c r="M13" s="16"/>
      <c r="N13" s="16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  <c r="AJ13" s="33"/>
      <c r="AK13" s="33"/>
      <c r="AL13" s="33"/>
      <c r="AM13" s="33"/>
    </row>
    <row r="14" s="3" customFormat="1" ht="14.5" customHeight="1" spans="1:39">
      <c r="A14" s="41" t="s">
        <v>13</v>
      </c>
      <c r="B14" s="16" t="s">
        <v>50</v>
      </c>
      <c r="C14" s="17">
        <f ca="1" t="shared" si="0"/>
        <v>0</v>
      </c>
      <c r="D14" s="18" t="s">
        <v>15</v>
      </c>
      <c r="E14" s="19" t="s">
        <v>23</v>
      </c>
      <c r="F14" s="16" t="s">
        <v>51</v>
      </c>
      <c r="G14" s="20" t="s">
        <v>52</v>
      </c>
      <c r="H14" s="21">
        <f t="shared" si="1"/>
        <v>4</v>
      </c>
      <c r="I14" s="32" t="s">
        <v>53</v>
      </c>
      <c r="J14" s="32">
        <f t="shared" si="2"/>
        <v>17</v>
      </c>
      <c r="K14" s="16"/>
      <c r="L14" s="16"/>
      <c r="M14" s="16"/>
      <c r="N14" s="16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3"/>
      <c r="AC14" s="33"/>
      <c r="AD14" s="33"/>
      <c r="AE14" s="33"/>
      <c r="AF14" s="33"/>
      <c r="AG14" s="33"/>
      <c r="AH14" s="33"/>
      <c r="AI14" s="33"/>
      <c r="AJ14" s="33"/>
      <c r="AK14" s="33"/>
      <c r="AL14" s="33"/>
      <c r="AM14" s="33"/>
    </row>
    <row r="15" s="3" customFormat="1" ht="14.5" customHeight="1" spans="1:39">
      <c r="A15" s="41" t="s">
        <v>13</v>
      </c>
      <c r="B15" s="16" t="s">
        <v>54</v>
      </c>
      <c r="C15" s="17">
        <f ca="1" t="shared" si="0"/>
        <v>0</v>
      </c>
      <c r="D15" s="18" t="s">
        <v>15</v>
      </c>
      <c r="E15" s="19" t="s">
        <v>23</v>
      </c>
      <c r="F15" s="16" t="s">
        <v>55</v>
      </c>
      <c r="G15" s="20" t="s">
        <v>56</v>
      </c>
      <c r="H15" s="21">
        <f t="shared" si="1"/>
        <v>5</v>
      </c>
      <c r="I15" s="32" t="s">
        <v>57</v>
      </c>
      <c r="J15" s="32">
        <f t="shared" si="2"/>
        <v>10</v>
      </c>
      <c r="K15" s="16"/>
      <c r="L15" s="16"/>
      <c r="M15" s="16"/>
      <c r="N15" s="16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3"/>
      <c r="AJ15" s="33"/>
      <c r="AK15" s="33"/>
      <c r="AL15" s="33"/>
      <c r="AM15" s="33"/>
    </row>
    <row r="16" s="3" customFormat="1" ht="14.5" customHeight="1" spans="1:39">
      <c r="A16" s="41" t="s">
        <v>13</v>
      </c>
      <c r="B16" s="16" t="s">
        <v>58</v>
      </c>
      <c r="C16" s="17">
        <f ca="1" t="shared" si="0"/>
        <v>0</v>
      </c>
      <c r="D16" s="18" t="s">
        <v>15</v>
      </c>
      <c r="E16" s="19" t="s">
        <v>23</v>
      </c>
      <c r="F16" s="16" t="s">
        <v>59</v>
      </c>
      <c r="G16" s="20" t="s">
        <v>60</v>
      </c>
      <c r="H16" s="21">
        <f t="shared" si="1"/>
        <v>7</v>
      </c>
      <c r="I16" s="32" t="s">
        <v>61</v>
      </c>
      <c r="J16" s="32">
        <f t="shared" si="2"/>
        <v>23</v>
      </c>
      <c r="K16" s="16"/>
      <c r="L16" s="16"/>
      <c r="M16" s="16"/>
      <c r="N16" s="16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3"/>
      <c r="AJ16" s="33"/>
      <c r="AK16" s="33"/>
      <c r="AL16" s="33"/>
      <c r="AM16" s="33"/>
    </row>
    <row r="17" s="2" customFormat="1" ht="14.5" customHeight="1" spans="1:18">
      <c r="A17" s="8" t="s">
        <v>62</v>
      </c>
      <c r="B17" s="9"/>
      <c r="C17" s="10"/>
      <c r="D17" s="11"/>
      <c r="E17" s="12"/>
      <c r="F17" s="12"/>
      <c r="G17" s="13"/>
      <c r="H17" s="14"/>
      <c r="I17" s="34"/>
      <c r="J17" s="29"/>
      <c r="K17" s="9"/>
      <c r="L17" s="30"/>
      <c r="M17" s="9"/>
      <c r="N17" s="30"/>
      <c r="O17" s="9"/>
      <c r="P17" s="31"/>
      <c r="Q17" s="9"/>
      <c r="R17" s="31"/>
    </row>
    <row r="18" s="3" customFormat="1" ht="14.5" customHeight="1" spans="1:39">
      <c r="A18" s="41" t="s">
        <v>13</v>
      </c>
      <c r="B18" s="16" t="s">
        <v>63</v>
      </c>
      <c r="C18" s="17">
        <f ca="1" t="shared" ref="C18:C30" si="3">IF(B18="","",IF(C18&lt;&gt;"",C18,NOW()))</f>
        <v>0</v>
      </c>
      <c r="D18" s="18" t="s">
        <v>15</v>
      </c>
      <c r="E18" s="19">
        <v>1</v>
      </c>
      <c r="F18" s="16" t="s">
        <v>64</v>
      </c>
      <c r="G18" s="20" t="s">
        <v>65</v>
      </c>
      <c r="H18" s="21">
        <f t="shared" ref="H18:H30" si="4">LEN(G18)</f>
        <v>3</v>
      </c>
      <c r="I18" s="32" t="s">
        <v>66</v>
      </c>
      <c r="J18" s="32">
        <f t="shared" ref="J18:J30" si="5">LEN(I18)</f>
        <v>5</v>
      </c>
      <c r="K18" s="16"/>
      <c r="L18" s="16"/>
      <c r="M18" s="16"/>
      <c r="N18" s="16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3"/>
      <c r="AJ18" s="33"/>
      <c r="AK18" s="33"/>
      <c r="AL18" s="33"/>
      <c r="AM18" s="33"/>
    </row>
    <row r="19" s="3" customFormat="1" ht="14.5" customHeight="1" spans="1:39">
      <c r="A19" s="41" t="s">
        <v>13</v>
      </c>
      <c r="B19" s="16" t="s">
        <v>67</v>
      </c>
      <c r="C19" s="17">
        <f ca="1" t="shared" si="3"/>
        <v>0</v>
      </c>
      <c r="D19" s="18" t="s">
        <v>15</v>
      </c>
      <c r="E19" s="19" t="s">
        <v>68</v>
      </c>
      <c r="F19" s="16" t="s">
        <v>69</v>
      </c>
      <c r="G19" s="20" t="s">
        <v>70</v>
      </c>
      <c r="H19" s="21">
        <f t="shared" si="4"/>
        <v>3</v>
      </c>
      <c r="I19" s="32" t="s">
        <v>71</v>
      </c>
      <c r="J19" s="32">
        <f t="shared" si="5"/>
        <v>6</v>
      </c>
      <c r="K19" s="16"/>
      <c r="L19" s="16"/>
      <c r="M19" s="16"/>
      <c r="N19" s="16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  <c r="AK19" s="33"/>
      <c r="AL19" s="33"/>
      <c r="AM19" s="33"/>
    </row>
    <row r="20" s="3" customFormat="1" ht="14.5" customHeight="1" spans="1:39">
      <c r="A20" s="41" t="s">
        <v>13</v>
      </c>
      <c r="B20" s="16" t="s">
        <v>72</v>
      </c>
      <c r="C20" s="17">
        <f ca="1" t="shared" si="3"/>
        <v>0</v>
      </c>
      <c r="D20" s="18" t="s">
        <v>15</v>
      </c>
      <c r="E20" s="19" t="s">
        <v>73</v>
      </c>
      <c r="F20" s="16" t="s">
        <v>74</v>
      </c>
      <c r="G20" s="20" t="s">
        <v>75</v>
      </c>
      <c r="H20" s="21">
        <f t="shared" si="4"/>
        <v>4</v>
      </c>
      <c r="I20" s="32" t="s">
        <v>76</v>
      </c>
      <c r="J20" s="32">
        <f t="shared" si="5"/>
        <v>14</v>
      </c>
      <c r="K20" s="16"/>
      <c r="L20" s="16"/>
      <c r="M20" s="16"/>
      <c r="N20" s="16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  <c r="AA20" s="33"/>
      <c r="AB20" s="33"/>
      <c r="AC20" s="33"/>
      <c r="AD20" s="33"/>
      <c r="AE20" s="33"/>
      <c r="AF20" s="33"/>
      <c r="AG20" s="33"/>
      <c r="AH20" s="33"/>
      <c r="AI20" s="33"/>
      <c r="AJ20" s="33"/>
      <c r="AK20" s="33"/>
      <c r="AL20" s="33"/>
      <c r="AM20" s="33"/>
    </row>
    <row r="21" s="3" customFormat="1" ht="14.5" customHeight="1" spans="1:39">
      <c r="A21" s="41" t="s">
        <v>13</v>
      </c>
      <c r="B21" s="16" t="s">
        <v>77</v>
      </c>
      <c r="C21" s="17">
        <f ca="1" t="shared" si="3"/>
        <v>0</v>
      </c>
      <c r="D21" s="18" t="s">
        <v>15</v>
      </c>
      <c r="E21" s="19" t="s">
        <v>78</v>
      </c>
      <c r="F21" s="16" t="s">
        <v>79</v>
      </c>
      <c r="G21" s="20" t="s">
        <v>80</v>
      </c>
      <c r="H21" s="21">
        <f t="shared" si="4"/>
        <v>3</v>
      </c>
      <c r="I21" s="32" t="s">
        <v>81</v>
      </c>
      <c r="J21" s="32">
        <f t="shared" si="5"/>
        <v>12</v>
      </c>
      <c r="K21" s="16"/>
      <c r="L21" s="16"/>
      <c r="M21" s="16"/>
      <c r="N21" s="16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3"/>
      <c r="AB21" s="33"/>
      <c r="AC21" s="33"/>
      <c r="AD21" s="33"/>
      <c r="AE21" s="33"/>
      <c r="AF21" s="33"/>
      <c r="AG21" s="33"/>
      <c r="AH21" s="33"/>
      <c r="AI21" s="33"/>
      <c r="AJ21" s="33"/>
      <c r="AK21" s="33"/>
      <c r="AL21" s="33"/>
      <c r="AM21" s="33"/>
    </row>
    <row r="22" s="3" customFormat="1" ht="14.5" customHeight="1" spans="1:39">
      <c r="A22" s="41" t="s">
        <v>13</v>
      </c>
      <c r="B22" s="16" t="s">
        <v>82</v>
      </c>
      <c r="C22" s="17">
        <f ca="1" t="shared" si="3"/>
        <v>0</v>
      </c>
      <c r="D22" s="18" t="s">
        <v>15</v>
      </c>
      <c r="E22" s="19" t="s">
        <v>73</v>
      </c>
      <c r="F22" s="16" t="s">
        <v>83</v>
      </c>
      <c r="G22" s="20" t="s">
        <v>84</v>
      </c>
      <c r="H22" s="21">
        <f t="shared" si="4"/>
        <v>8</v>
      </c>
      <c r="I22" s="32" t="s">
        <v>85</v>
      </c>
      <c r="J22" s="32">
        <f t="shared" si="5"/>
        <v>12</v>
      </c>
      <c r="K22" s="16"/>
      <c r="L22" s="16"/>
      <c r="M22" s="16"/>
      <c r="N22" s="16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  <c r="AE22" s="33"/>
      <c r="AF22" s="33"/>
      <c r="AG22" s="33"/>
      <c r="AH22" s="33"/>
      <c r="AI22" s="33"/>
      <c r="AJ22" s="33"/>
      <c r="AK22" s="33"/>
      <c r="AL22" s="33"/>
      <c r="AM22" s="33"/>
    </row>
    <row r="23" s="3" customFormat="1" ht="14.5" customHeight="1" spans="1:39">
      <c r="A23" s="41" t="s">
        <v>13</v>
      </c>
      <c r="B23" s="16" t="s">
        <v>86</v>
      </c>
      <c r="C23" s="17">
        <f ca="1" t="shared" si="3"/>
        <v>0</v>
      </c>
      <c r="D23" s="18" t="s">
        <v>15</v>
      </c>
      <c r="E23" s="19" t="s">
        <v>87</v>
      </c>
      <c r="F23" s="16" t="s">
        <v>88</v>
      </c>
      <c r="G23" s="20" t="s">
        <v>89</v>
      </c>
      <c r="H23" s="21">
        <f t="shared" si="4"/>
        <v>3</v>
      </c>
      <c r="I23" s="32" t="s">
        <v>90</v>
      </c>
      <c r="J23" s="32">
        <f t="shared" si="5"/>
        <v>7</v>
      </c>
      <c r="K23" s="16"/>
      <c r="L23" s="16"/>
      <c r="M23" s="16"/>
      <c r="N23" s="16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3"/>
      <c r="AB23" s="33"/>
      <c r="AC23" s="33"/>
      <c r="AD23" s="33"/>
      <c r="AE23" s="33"/>
      <c r="AF23" s="33"/>
      <c r="AG23" s="33"/>
      <c r="AH23" s="33"/>
      <c r="AI23" s="33"/>
      <c r="AJ23" s="33"/>
      <c r="AK23" s="33"/>
      <c r="AL23" s="33"/>
      <c r="AM23" s="33"/>
    </row>
    <row r="24" s="3" customFormat="1" ht="14.5" customHeight="1" spans="1:39">
      <c r="A24" s="41" t="s">
        <v>13</v>
      </c>
      <c r="B24" s="16" t="s">
        <v>91</v>
      </c>
      <c r="C24" s="17">
        <f ca="1" t="shared" si="3"/>
        <v>0</v>
      </c>
      <c r="D24" s="18" t="s">
        <v>15</v>
      </c>
      <c r="E24" s="19" t="s">
        <v>92</v>
      </c>
      <c r="F24" s="16" t="s">
        <v>93</v>
      </c>
      <c r="G24" s="20" t="s">
        <v>94</v>
      </c>
      <c r="H24" s="21">
        <f t="shared" si="4"/>
        <v>4</v>
      </c>
      <c r="I24" s="32" t="s">
        <v>93</v>
      </c>
      <c r="J24" s="32">
        <f t="shared" si="5"/>
        <v>7</v>
      </c>
      <c r="K24" s="16"/>
      <c r="L24" s="16"/>
      <c r="M24" s="16"/>
      <c r="N24" s="16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3"/>
      <c r="AB24" s="33"/>
      <c r="AC24" s="33"/>
      <c r="AD24" s="33"/>
      <c r="AE24" s="33"/>
      <c r="AF24" s="33"/>
      <c r="AG24" s="33"/>
      <c r="AH24" s="33"/>
      <c r="AI24" s="33"/>
      <c r="AJ24" s="33"/>
      <c r="AK24" s="33"/>
      <c r="AL24" s="33"/>
      <c r="AM24" s="33"/>
    </row>
    <row r="25" s="3" customFormat="1" ht="14.5" customHeight="1" spans="1:39">
      <c r="A25" s="41" t="s">
        <v>13</v>
      </c>
      <c r="B25" s="16" t="s">
        <v>95</v>
      </c>
      <c r="C25" s="17">
        <f ca="1" t="shared" si="3"/>
        <v>0</v>
      </c>
      <c r="D25" s="18" t="s">
        <v>15</v>
      </c>
      <c r="E25" s="19" t="s">
        <v>92</v>
      </c>
      <c r="F25" s="16" t="s">
        <v>96</v>
      </c>
      <c r="G25" s="20" t="s">
        <v>97</v>
      </c>
      <c r="H25" s="21">
        <f t="shared" si="4"/>
        <v>5</v>
      </c>
      <c r="I25" s="32" t="s">
        <v>98</v>
      </c>
      <c r="J25" s="32">
        <f t="shared" si="5"/>
        <v>15</v>
      </c>
      <c r="K25" s="16"/>
      <c r="L25" s="16"/>
      <c r="M25" s="16"/>
      <c r="N25" s="16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/>
      <c r="AB25" s="33"/>
      <c r="AC25" s="33"/>
      <c r="AD25" s="33"/>
      <c r="AE25" s="33"/>
      <c r="AF25" s="33"/>
      <c r="AG25" s="33"/>
      <c r="AH25" s="33"/>
      <c r="AI25" s="33"/>
      <c r="AJ25" s="33"/>
      <c r="AK25" s="33"/>
      <c r="AL25" s="33"/>
      <c r="AM25" s="33"/>
    </row>
    <row r="26" s="3" customFormat="1" ht="14.5" customHeight="1" spans="1:39">
      <c r="A26" s="41" t="s">
        <v>13</v>
      </c>
      <c r="B26" s="16" t="s">
        <v>99</v>
      </c>
      <c r="C26" s="17">
        <f ca="1" t="shared" si="3"/>
        <v>0</v>
      </c>
      <c r="D26" s="18" t="s">
        <v>15</v>
      </c>
      <c r="E26" s="19" t="s">
        <v>92</v>
      </c>
      <c r="F26" s="16" t="s">
        <v>100</v>
      </c>
      <c r="G26" s="20" t="s">
        <v>101</v>
      </c>
      <c r="H26" s="21">
        <f t="shared" si="4"/>
        <v>5</v>
      </c>
      <c r="I26" s="32" t="s">
        <v>102</v>
      </c>
      <c r="J26" s="32">
        <f t="shared" si="5"/>
        <v>15</v>
      </c>
      <c r="K26" s="16"/>
      <c r="L26" s="16"/>
      <c r="M26" s="16"/>
      <c r="N26" s="16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  <c r="AE26" s="33"/>
      <c r="AF26" s="33"/>
      <c r="AG26" s="33"/>
      <c r="AH26" s="33"/>
      <c r="AI26" s="33"/>
      <c r="AJ26" s="33"/>
      <c r="AK26" s="33"/>
      <c r="AL26" s="33"/>
      <c r="AM26" s="33"/>
    </row>
    <row r="27" s="3" customFormat="1" ht="14.5" customHeight="1" spans="1:39">
      <c r="A27" s="41" t="s">
        <v>13</v>
      </c>
      <c r="B27" s="16" t="s">
        <v>103</v>
      </c>
      <c r="C27" s="17">
        <f ca="1" t="shared" si="3"/>
        <v>0</v>
      </c>
      <c r="D27" s="18" t="s">
        <v>15</v>
      </c>
      <c r="E27" s="19" t="s">
        <v>68</v>
      </c>
      <c r="F27" s="16" t="s">
        <v>104</v>
      </c>
      <c r="G27" s="20" t="s">
        <v>105</v>
      </c>
      <c r="H27" s="21">
        <f t="shared" si="4"/>
        <v>4</v>
      </c>
      <c r="I27" s="35" t="s">
        <v>106</v>
      </c>
      <c r="J27" s="32">
        <f t="shared" si="5"/>
        <v>17</v>
      </c>
      <c r="K27" s="16"/>
      <c r="L27" s="16"/>
      <c r="M27" s="16"/>
      <c r="N27" s="16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33"/>
      <c r="AF27" s="33"/>
      <c r="AG27" s="33"/>
      <c r="AH27" s="33"/>
      <c r="AI27" s="33"/>
      <c r="AJ27" s="33"/>
      <c r="AK27" s="33"/>
      <c r="AL27" s="33"/>
      <c r="AM27" s="33"/>
    </row>
    <row r="28" s="3" customFormat="1" ht="14.5" customHeight="1" spans="1:39">
      <c r="A28" s="41" t="s">
        <v>13</v>
      </c>
      <c r="B28" s="16" t="s">
        <v>107</v>
      </c>
      <c r="C28" s="17">
        <f ca="1" t="shared" si="3"/>
        <v>0</v>
      </c>
      <c r="D28" s="18" t="s">
        <v>15</v>
      </c>
      <c r="E28" s="19" t="s">
        <v>68</v>
      </c>
      <c r="F28" s="16" t="s">
        <v>108</v>
      </c>
      <c r="G28" s="20" t="s">
        <v>109</v>
      </c>
      <c r="H28" s="21">
        <f t="shared" si="4"/>
        <v>5</v>
      </c>
      <c r="I28" s="32" t="s">
        <v>110</v>
      </c>
      <c r="J28" s="32">
        <f t="shared" si="5"/>
        <v>13</v>
      </c>
      <c r="K28" s="16"/>
      <c r="L28" s="16"/>
      <c r="M28" s="16"/>
      <c r="N28" s="16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  <c r="AB28" s="33"/>
      <c r="AC28" s="33"/>
      <c r="AD28" s="33"/>
      <c r="AE28" s="33"/>
      <c r="AF28" s="33"/>
      <c r="AG28" s="33"/>
      <c r="AH28" s="33"/>
      <c r="AI28" s="33"/>
      <c r="AJ28" s="33"/>
      <c r="AK28" s="33"/>
      <c r="AL28" s="33"/>
      <c r="AM28" s="33"/>
    </row>
    <row r="29" s="3" customFormat="1" ht="14.5" customHeight="1" spans="1:39">
      <c r="A29" s="41" t="s">
        <v>13</v>
      </c>
      <c r="B29" s="16" t="s">
        <v>111</v>
      </c>
      <c r="C29" s="17">
        <f ca="1" t="shared" si="3"/>
        <v>0</v>
      </c>
      <c r="D29" s="18" t="s">
        <v>15</v>
      </c>
      <c r="E29" s="19" t="s">
        <v>68</v>
      </c>
      <c r="F29" s="16" t="s">
        <v>112</v>
      </c>
      <c r="G29" s="20" t="s">
        <v>113</v>
      </c>
      <c r="H29" s="21">
        <f t="shared" si="4"/>
        <v>5</v>
      </c>
      <c r="I29" s="32" t="s">
        <v>114</v>
      </c>
      <c r="J29" s="32">
        <f t="shared" si="5"/>
        <v>19</v>
      </c>
      <c r="K29" s="16"/>
      <c r="L29" s="16"/>
      <c r="M29" s="16"/>
      <c r="N29" s="16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  <c r="AE29" s="33"/>
      <c r="AF29" s="33"/>
      <c r="AG29" s="33"/>
      <c r="AH29" s="33"/>
      <c r="AI29" s="33"/>
      <c r="AJ29" s="33"/>
      <c r="AK29" s="33"/>
      <c r="AL29" s="33"/>
      <c r="AM29" s="33"/>
    </row>
    <row r="30" s="4" customFormat="1" ht="14.5" customHeight="1" spans="1:39">
      <c r="A30" s="42" t="s">
        <v>13</v>
      </c>
      <c r="B30" s="23" t="s">
        <v>115</v>
      </c>
      <c r="C30" s="24">
        <f ca="1" t="shared" si="3"/>
        <v>0</v>
      </c>
      <c r="D30" s="25" t="s">
        <v>15</v>
      </c>
      <c r="E30" s="26" t="s">
        <v>116</v>
      </c>
      <c r="F30" s="23" t="s">
        <v>117</v>
      </c>
      <c r="G30" s="27" t="s">
        <v>118</v>
      </c>
      <c r="H30" s="28">
        <f t="shared" si="4"/>
        <v>7</v>
      </c>
      <c r="I30" s="36" t="s">
        <v>119</v>
      </c>
      <c r="J30" s="36">
        <f t="shared" si="5"/>
        <v>13</v>
      </c>
      <c r="K30" s="23"/>
      <c r="L30" s="23"/>
      <c r="M30" s="23"/>
      <c r="N30" s="23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7"/>
      <c r="AD30" s="37"/>
      <c r="AE30" s="37"/>
      <c r="AF30" s="37"/>
      <c r="AG30" s="37"/>
      <c r="AH30" s="37"/>
      <c r="AI30" s="37"/>
      <c r="AJ30" s="37"/>
      <c r="AK30" s="37"/>
      <c r="AL30" s="37"/>
      <c r="AM30" s="37"/>
    </row>
    <row r="31" s="2" customFormat="1" ht="14.5" customHeight="1" spans="1:18">
      <c r="A31" s="8" t="s">
        <v>120</v>
      </c>
      <c r="B31" s="9"/>
      <c r="C31" s="10"/>
      <c r="D31" s="11"/>
      <c r="E31" s="12"/>
      <c r="F31" s="12"/>
      <c r="G31" s="13"/>
      <c r="H31" s="14"/>
      <c r="I31" s="29"/>
      <c r="J31" s="29"/>
      <c r="K31" s="9"/>
      <c r="L31" s="30"/>
      <c r="M31" s="9"/>
      <c r="N31" s="30"/>
      <c r="O31" s="9"/>
      <c r="P31" s="31"/>
      <c r="Q31" s="9"/>
      <c r="R31" s="31"/>
    </row>
    <row r="32" s="3" customFormat="1" ht="14.5" customHeight="1" spans="1:39">
      <c r="A32" s="41" t="s">
        <v>13</v>
      </c>
      <c r="B32" s="16" t="s">
        <v>121</v>
      </c>
      <c r="C32" s="17">
        <f ca="1" t="shared" ref="C32:C39" si="6">IF(B32="","",IF(C32&lt;&gt;"",C32,NOW()))</f>
        <v>0</v>
      </c>
      <c r="D32" s="18" t="s">
        <v>15</v>
      </c>
      <c r="E32" s="19">
        <v>1</v>
      </c>
      <c r="F32" s="16" t="s">
        <v>122</v>
      </c>
      <c r="G32" s="20" t="s">
        <v>123</v>
      </c>
      <c r="H32" s="21">
        <f t="shared" ref="H32:H39" si="7">LEN(G32)</f>
        <v>3</v>
      </c>
      <c r="I32" s="32" t="s">
        <v>122</v>
      </c>
      <c r="J32" s="32">
        <f t="shared" ref="J32:J39" si="8">LEN(I32)</f>
        <v>4</v>
      </c>
      <c r="K32" s="16"/>
      <c r="L32" s="16"/>
      <c r="M32" s="16"/>
      <c r="N32" s="16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  <c r="AB32" s="33"/>
      <c r="AC32" s="33"/>
      <c r="AD32" s="33"/>
      <c r="AE32" s="33"/>
      <c r="AF32" s="33"/>
      <c r="AG32" s="33"/>
      <c r="AH32" s="33"/>
      <c r="AI32" s="33"/>
      <c r="AJ32" s="33"/>
      <c r="AK32" s="33"/>
      <c r="AL32" s="33"/>
      <c r="AM32" s="33"/>
    </row>
    <row r="33" s="3" customFormat="1" ht="14.5" customHeight="1" spans="1:39">
      <c r="A33" s="41" t="s">
        <v>13</v>
      </c>
      <c r="B33" s="16" t="s">
        <v>124</v>
      </c>
      <c r="C33" s="17">
        <f ca="1" t="shared" si="6"/>
        <v>0</v>
      </c>
      <c r="D33" s="18" t="s">
        <v>15</v>
      </c>
      <c r="E33" s="19" t="s">
        <v>125</v>
      </c>
      <c r="F33" s="16" t="s">
        <v>126</v>
      </c>
      <c r="G33" s="20" t="s">
        <v>127</v>
      </c>
      <c r="H33" s="21">
        <f t="shared" si="7"/>
        <v>5</v>
      </c>
      <c r="I33" s="32" t="s">
        <v>128</v>
      </c>
      <c r="J33" s="32">
        <f t="shared" si="8"/>
        <v>18</v>
      </c>
      <c r="K33" s="16"/>
      <c r="L33" s="16"/>
      <c r="M33" s="16"/>
      <c r="N33" s="16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33"/>
      <c r="AE33" s="33"/>
      <c r="AF33" s="33"/>
      <c r="AG33" s="33"/>
      <c r="AH33" s="33"/>
      <c r="AI33" s="33"/>
      <c r="AJ33" s="33"/>
      <c r="AK33" s="33"/>
      <c r="AL33" s="33"/>
      <c r="AM33" s="33"/>
    </row>
    <row r="34" s="3" customFormat="1" ht="14.5" customHeight="1" spans="1:39">
      <c r="A34" s="41" t="s">
        <v>13</v>
      </c>
      <c r="B34" s="16" t="s">
        <v>129</v>
      </c>
      <c r="C34" s="17">
        <f ca="1" t="shared" si="6"/>
        <v>0</v>
      </c>
      <c r="D34" s="18" t="s">
        <v>15</v>
      </c>
      <c r="E34" s="19" t="s">
        <v>125</v>
      </c>
      <c r="F34" s="16" t="s">
        <v>130</v>
      </c>
      <c r="G34" s="20" t="s">
        <v>131</v>
      </c>
      <c r="H34" s="21">
        <f t="shared" si="7"/>
        <v>5</v>
      </c>
      <c r="I34" s="32" t="s">
        <v>132</v>
      </c>
      <c r="J34" s="32">
        <f t="shared" si="8"/>
        <v>16</v>
      </c>
      <c r="K34" s="38"/>
      <c r="L34" s="16"/>
      <c r="M34" s="16"/>
      <c r="N34" s="16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  <c r="AB34" s="33"/>
      <c r="AC34" s="33"/>
      <c r="AD34" s="33"/>
      <c r="AE34" s="33"/>
      <c r="AF34" s="33"/>
      <c r="AG34" s="33"/>
      <c r="AH34" s="33"/>
      <c r="AI34" s="33"/>
      <c r="AJ34" s="33"/>
      <c r="AK34" s="33"/>
      <c r="AL34" s="33"/>
      <c r="AM34" s="33"/>
    </row>
    <row r="35" s="3" customFormat="1" ht="14.5" customHeight="1" spans="1:39">
      <c r="A35" s="41" t="s">
        <v>13</v>
      </c>
      <c r="B35" s="16" t="s">
        <v>133</v>
      </c>
      <c r="C35" s="17">
        <f ca="1" t="shared" si="6"/>
        <v>0</v>
      </c>
      <c r="D35" s="18" t="s">
        <v>15</v>
      </c>
      <c r="E35" s="19" t="s">
        <v>125</v>
      </c>
      <c r="F35" s="16" t="s">
        <v>134</v>
      </c>
      <c r="G35" s="20" t="s">
        <v>135</v>
      </c>
      <c r="H35" s="21">
        <f t="shared" si="7"/>
        <v>5</v>
      </c>
      <c r="I35" s="32" t="s">
        <v>136</v>
      </c>
      <c r="J35" s="32">
        <f t="shared" si="8"/>
        <v>10</v>
      </c>
      <c r="K35" s="16"/>
      <c r="L35" s="16"/>
      <c r="M35" s="16"/>
      <c r="N35" s="16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  <c r="AA35" s="33"/>
      <c r="AB35" s="33"/>
      <c r="AC35" s="33"/>
      <c r="AD35" s="33"/>
      <c r="AE35" s="33"/>
      <c r="AF35" s="33"/>
      <c r="AG35" s="33"/>
      <c r="AH35" s="33"/>
      <c r="AI35" s="33"/>
      <c r="AJ35" s="33"/>
      <c r="AK35" s="33"/>
      <c r="AL35" s="33"/>
      <c r="AM35" s="33"/>
    </row>
    <row r="36" s="3" customFormat="1" ht="14.5" customHeight="1" spans="1:39">
      <c r="A36" s="41" t="s">
        <v>13</v>
      </c>
      <c r="B36" s="16" t="s">
        <v>137</v>
      </c>
      <c r="C36" s="17">
        <f ca="1" t="shared" si="6"/>
        <v>0</v>
      </c>
      <c r="D36" s="18" t="s">
        <v>15</v>
      </c>
      <c r="E36" s="19" t="s">
        <v>125</v>
      </c>
      <c r="F36" s="16" t="s">
        <v>138</v>
      </c>
      <c r="G36" s="20" t="s">
        <v>139</v>
      </c>
      <c r="H36" s="21">
        <f t="shared" si="7"/>
        <v>5</v>
      </c>
      <c r="I36" s="35" t="s">
        <v>140</v>
      </c>
      <c r="J36" s="32">
        <f t="shared" si="8"/>
        <v>14</v>
      </c>
      <c r="K36" s="16"/>
      <c r="L36" s="16"/>
      <c r="M36" s="16"/>
      <c r="N36" s="16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33"/>
      <c r="AE36" s="33"/>
      <c r="AF36" s="33"/>
      <c r="AG36" s="33"/>
      <c r="AH36" s="33"/>
      <c r="AI36" s="33"/>
      <c r="AJ36" s="33"/>
      <c r="AK36" s="33"/>
      <c r="AL36" s="33"/>
      <c r="AM36" s="33"/>
    </row>
    <row r="37" s="3" customFormat="1" ht="14.5" customHeight="1" spans="1:39">
      <c r="A37" s="41" t="s">
        <v>13</v>
      </c>
      <c r="B37" s="16" t="s">
        <v>141</v>
      </c>
      <c r="C37" s="17">
        <f ca="1" t="shared" si="6"/>
        <v>0</v>
      </c>
      <c r="D37" s="18" t="s">
        <v>15</v>
      </c>
      <c r="E37" s="19" t="s">
        <v>125</v>
      </c>
      <c r="F37" s="16" t="s">
        <v>142</v>
      </c>
      <c r="G37" s="20" t="s">
        <v>143</v>
      </c>
      <c r="H37" s="21">
        <f t="shared" si="7"/>
        <v>5</v>
      </c>
      <c r="I37" s="32" t="s">
        <v>144</v>
      </c>
      <c r="J37" s="32">
        <f t="shared" si="8"/>
        <v>19</v>
      </c>
      <c r="K37" s="16"/>
      <c r="L37" s="16"/>
      <c r="M37" s="16"/>
      <c r="N37" s="16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  <c r="AB37" s="33"/>
      <c r="AC37" s="33"/>
      <c r="AD37" s="33"/>
      <c r="AE37" s="33"/>
      <c r="AF37" s="33"/>
      <c r="AG37" s="33"/>
      <c r="AH37" s="33"/>
      <c r="AI37" s="33"/>
      <c r="AJ37" s="33"/>
      <c r="AK37" s="33"/>
      <c r="AL37" s="33"/>
      <c r="AM37" s="33"/>
    </row>
    <row r="38" s="3" customFormat="1" ht="14.5" customHeight="1" spans="1:39">
      <c r="A38" s="41" t="s">
        <v>13</v>
      </c>
      <c r="B38" s="16" t="s">
        <v>145</v>
      </c>
      <c r="C38" s="17">
        <f ca="1" t="shared" si="6"/>
        <v>0</v>
      </c>
      <c r="D38" s="18" t="s">
        <v>15</v>
      </c>
      <c r="E38" s="19" t="s">
        <v>125</v>
      </c>
      <c r="F38" s="16" t="s">
        <v>146</v>
      </c>
      <c r="G38" s="20" t="s">
        <v>147</v>
      </c>
      <c r="H38" s="21">
        <f t="shared" si="7"/>
        <v>4</v>
      </c>
      <c r="I38" s="32" t="s">
        <v>148</v>
      </c>
      <c r="J38" s="32">
        <f t="shared" si="8"/>
        <v>10</v>
      </c>
      <c r="K38" s="16"/>
      <c r="L38" s="16"/>
      <c r="M38" s="16"/>
      <c r="N38" s="16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  <c r="AB38" s="33"/>
      <c r="AC38" s="33"/>
      <c r="AD38" s="33"/>
      <c r="AE38" s="33"/>
      <c r="AF38" s="33"/>
      <c r="AG38" s="33"/>
      <c r="AH38" s="33"/>
      <c r="AI38" s="33"/>
      <c r="AJ38" s="33"/>
      <c r="AK38" s="33"/>
      <c r="AL38" s="33"/>
      <c r="AM38" s="33"/>
    </row>
    <row r="39" s="3" customFormat="1" ht="14.5" customHeight="1" spans="1:39">
      <c r="A39" s="41" t="s">
        <v>13</v>
      </c>
      <c r="B39" s="16" t="s">
        <v>149</v>
      </c>
      <c r="C39" s="17">
        <f ca="1" t="shared" si="6"/>
        <v>0</v>
      </c>
      <c r="D39" s="18" t="s">
        <v>15</v>
      </c>
      <c r="E39" s="19" t="s">
        <v>125</v>
      </c>
      <c r="F39" s="16" t="s">
        <v>150</v>
      </c>
      <c r="G39" s="20" t="s">
        <v>150</v>
      </c>
      <c r="H39" s="21">
        <f t="shared" si="7"/>
        <v>3</v>
      </c>
      <c r="I39" s="32" t="s">
        <v>150</v>
      </c>
      <c r="J39" s="32">
        <f t="shared" si="8"/>
        <v>3</v>
      </c>
      <c r="K39" s="16"/>
      <c r="L39" s="16"/>
      <c r="M39" s="16"/>
      <c r="N39" s="16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  <c r="AB39" s="33"/>
      <c r="AC39" s="33"/>
      <c r="AD39" s="33"/>
      <c r="AE39" s="33"/>
      <c r="AF39" s="33"/>
      <c r="AG39" s="33"/>
      <c r="AH39" s="33"/>
      <c r="AI39" s="33"/>
      <c r="AJ39" s="33"/>
      <c r="AK39" s="33"/>
      <c r="AL39" s="33"/>
      <c r="AM39" s="33"/>
    </row>
    <row r="40" s="2" customFormat="1" ht="14.5" customHeight="1" spans="1:18">
      <c r="A40" s="8" t="s">
        <v>151</v>
      </c>
      <c r="B40" s="9"/>
      <c r="C40" s="10"/>
      <c r="D40" s="11"/>
      <c r="E40" s="12"/>
      <c r="F40" s="12"/>
      <c r="G40" s="13"/>
      <c r="H40" s="14"/>
      <c r="I40" s="29"/>
      <c r="J40" s="29"/>
      <c r="K40" s="39"/>
      <c r="L40" s="30"/>
      <c r="M40" s="9"/>
      <c r="N40" s="30"/>
      <c r="O40" s="9"/>
      <c r="P40" s="31"/>
      <c r="Q40" s="9"/>
      <c r="R40" s="31"/>
    </row>
    <row r="41" s="3" customFormat="1" ht="14.5" customHeight="1" spans="1:39">
      <c r="A41" s="41" t="s">
        <v>13</v>
      </c>
      <c r="B41" s="16" t="s">
        <v>152</v>
      </c>
      <c r="C41" s="17">
        <f ca="1" t="shared" ref="C41:C50" si="9">IF(B41="","",IF(C41&lt;&gt;"",C41,NOW()))</f>
        <v>0</v>
      </c>
      <c r="D41" s="18" t="s">
        <v>15</v>
      </c>
      <c r="E41" s="19">
        <v>1</v>
      </c>
      <c r="F41" s="16" t="s">
        <v>153</v>
      </c>
      <c r="G41" s="20" t="s">
        <v>154</v>
      </c>
      <c r="H41" s="21">
        <f t="shared" ref="H41:H50" si="10">LEN(G41)</f>
        <v>3</v>
      </c>
      <c r="I41" s="32" t="s">
        <v>153</v>
      </c>
      <c r="J41" s="32">
        <f t="shared" ref="J41:J50" si="11">LEN(I41)</f>
        <v>8</v>
      </c>
      <c r="K41" s="38"/>
      <c r="L41" s="16"/>
      <c r="M41" s="16"/>
      <c r="N41" s="16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3"/>
      <c r="AB41" s="33"/>
      <c r="AC41" s="33"/>
      <c r="AD41" s="33"/>
      <c r="AE41" s="33"/>
      <c r="AF41" s="33"/>
      <c r="AG41" s="33"/>
      <c r="AH41" s="33"/>
      <c r="AI41" s="33"/>
      <c r="AJ41" s="33"/>
      <c r="AK41" s="33"/>
      <c r="AL41" s="33"/>
      <c r="AM41" s="33"/>
    </row>
    <row r="42" s="3" customFormat="1" ht="14.5" customHeight="1" spans="1:39">
      <c r="A42" s="41" t="s">
        <v>13</v>
      </c>
      <c r="B42" s="16" t="s">
        <v>155</v>
      </c>
      <c r="C42" s="17">
        <f ca="1" t="shared" si="9"/>
        <v>0</v>
      </c>
      <c r="D42" s="18" t="s">
        <v>15</v>
      </c>
      <c r="E42" s="19" t="s">
        <v>156</v>
      </c>
      <c r="F42" s="16" t="s">
        <v>157</v>
      </c>
      <c r="G42" s="20" t="s">
        <v>158</v>
      </c>
      <c r="H42" s="21">
        <f t="shared" si="10"/>
        <v>5</v>
      </c>
      <c r="I42" s="35" t="s">
        <v>159</v>
      </c>
      <c r="J42" s="32">
        <f t="shared" si="11"/>
        <v>15</v>
      </c>
      <c r="K42" s="38"/>
      <c r="L42" s="16"/>
      <c r="M42" s="16"/>
      <c r="N42" s="16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3"/>
      <c r="AB42" s="33"/>
      <c r="AC42" s="33"/>
      <c r="AD42" s="33"/>
      <c r="AE42" s="33"/>
      <c r="AF42" s="33"/>
      <c r="AG42" s="33"/>
      <c r="AH42" s="33"/>
      <c r="AI42" s="33"/>
      <c r="AJ42" s="33"/>
      <c r="AK42" s="33"/>
      <c r="AL42" s="33"/>
      <c r="AM42" s="33"/>
    </row>
    <row r="43" s="3" customFormat="1" ht="14.5" customHeight="1" spans="1:39">
      <c r="A43" s="41" t="s">
        <v>13</v>
      </c>
      <c r="B43" s="16" t="s">
        <v>160</v>
      </c>
      <c r="C43" s="17">
        <f ca="1" t="shared" si="9"/>
        <v>0</v>
      </c>
      <c r="D43" s="18" t="s">
        <v>15</v>
      </c>
      <c r="E43" s="19" t="s">
        <v>156</v>
      </c>
      <c r="F43" s="16" t="s">
        <v>161</v>
      </c>
      <c r="G43" s="20" t="s">
        <v>162</v>
      </c>
      <c r="H43" s="21">
        <f t="shared" si="10"/>
        <v>5</v>
      </c>
      <c r="I43" s="32" t="s">
        <v>163</v>
      </c>
      <c r="J43" s="32">
        <f t="shared" si="11"/>
        <v>19</v>
      </c>
      <c r="K43" s="38"/>
      <c r="L43" s="16"/>
      <c r="M43" s="16"/>
      <c r="N43" s="16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  <c r="AB43" s="33"/>
      <c r="AC43" s="33"/>
      <c r="AD43" s="33"/>
      <c r="AE43" s="33"/>
      <c r="AF43" s="33"/>
      <c r="AG43" s="33"/>
      <c r="AH43" s="33"/>
      <c r="AI43" s="33"/>
      <c r="AJ43" s="33"/>
      <c r="AK43" s="33"/>
      <c r="AL43" s="33"/>
      <c r="AM43" s="33"/>
    </row>
    <row r="44" s="3" customFormat="1" ht="14.5" customHeight="1" spans="1:39">
      <c r="A44" s="41" t="s">
        <v>13</v>
      </c>
      <c r="B44" s="16" t="s">
        <v>164</v>
      </c>
      <c r="C44" s="17">
        <f ca="1" t="shared" si="9"/>
        <v>0</v>
      </c>
      <c r="D44" s="18" t="s">
        <v>15</v>
      </c>
      <c r="E44" s="19" t="s">
        <v>156</v>
      </c>
      <c r="F44" s="16" t="s">
        <v>165</v>
      </c>
      <c r="G44" s="20" t="s">
        <v>17</v>
      </c>
      <c r="H44" s="21">
        <f t="shared" si="10"/>
        <v>3</v>
      </c>
      <c r="I44" s="32" t="s">
        <v>166</v>
      </c>
      <c r="J44" s="32">
        <f t="shared" si="11"/>
        <v>20</v>
      </c>
      <c r="K44" s="38"/>
      <c r="L44" s="16"/>
      <c r="M44" s="16"/>
      <c r="N44" s="16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  <c r="AC44" s="33"/>
      <c r="AD44" s="33"/>
      <c r="AE44" s="33"/>
      <c r="AF44" s="33"/>
      <c r="AG44" s="33"/>
      <c r="AH44" s="33"/>
      <c r="AI44" s="33"/>
      <c r="AJ44" s="33"/>
      <c r="AK44" s="33"/>
      <c r="AL44" s="33"/>
      <c r="AM44" s="33"/>
    </row>
    <row r="45" s="3" customFormat="1" ht="14.5" customHeight="1" spans="1:39">
      <c r="A45" s="41" t="s">
        <v>13</v>
      </c>
      <c r="B45" s="16" t="s">
        <v>167</v>
      </c>
      <c r="C45" s="17">
        <f ca="1" t="shared" si="9"/>
        <v>0</v>
      </c>
      <c r="D45" s="18" t="s">
        <v>15</v>
      </c>
      <c r="E45" s="19" t="s">
        <v>168</v>
      </c>
      <c r="F45" s="16" t="s">
        <v>169</v>
      </c>
      <c r="G45" s="20" t="s">
        <v>170</v>
      </c>
      <c r="H45" s="21">
        <f t="shared" si="10"/>
        <v>4</v>
      </c>
      <c r="I45" s="32" t="s">
        <v>171</v>
      </c>
      <c r="J45" s="32">
        <f t="shared" si="11"/>
        <v>16</v>
      </c>
      <c r="K45" s="38"/>
      <c r="L45" s="16"/>
      <c r="M45" s="16"/>
      <c r="N45" s="16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33"/>
      <c r="AB45" s="33"/>
      <c r="AC45" s="33"/>
      <c r="AD45" s="33"/>
      <c r="AE45" s="33"/>
      <c r="AF45" s="33"/>
      <c r="AG45" s="33"/>
      <c r="AH45" s="33"/>
      <c r="AI45" s="33"/>
      <c r="AJ45" s="33"/>
      <c r="AK45" s="33"/>
      <c r="AL45" s="33"/>
      <c r="AM45" s="33"/>
    </row>
    <row r="46" s="3" customFormat="1" ht="14.5" customHeight="1" spans="1:39">
      <c r="A46" s="41" t="s">
        <v>13</v>
      </c>
      <c r="B46" s="16" t="s">
        <v>172</v>
      </c>
      <c r="C46" s="17">
        <f ca="1" t="shared" si="9"/>
        <v>0</v>
      </c>
      <c r="D46" s="18" t="s">
        <v>15</v>
      </c>
      <c r="E46" s="19" t="s">
        <v>168</v>
      </c>
      <c r="F46" s="16" t="s">
        <v>173</v>
      </c>
      <c r="G46" s="20" t="s">
        <v>174</v>
      </c>
      <c r="H46" s="21">
        <f t="shared" si="10"/>
        <v>3</v>
      </c>
      <c r="I46" s="32" t="s">
        <v>175</v>
      </c>
      <c r="J46" s="32">
        <f t="shared" si="11"/>
        <v>12</v>
      </c>
      <c r="K46" s="38"/>
      <c r="L46" s="16"/>
      <c r="M46" s="16"/>
      <c r="N46" s="16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  <c r="AB46" s="33"/>
      <c r="AC46" s="33"/>
      <c r="AD46" s="33"/>
      <c r="AE46" s="33"/>
      <c r="AF46" s="33"/>
      <c r="AG46" s="33"/>
      <c r="AH46" s="33"/>
      <c r="AI46" s="33"/>
      <c r="AJ46" s="33"/>
      <c r="AK46" s="33"/>
      <c r="AL46" s="33"/>
      <c r="AM46" s="33"/>
    </row>
    <row r="47" s="3" customFormat="1" ht="14.5" customHeight="1" spans="1:39">
      <c r="A47" s="41" t="s">
        <v>13</v>
      </c>
      <c r="B47" s="16" t="s">
        <v>176</v>
      </c>
      <c r="C47" s="17">
        <f ca="1" t="shared" si="9"/>
        <v>0</v>
      </c>
      <c r="D47" s="18" t="s">
        <v>15</v>
      </c>
      <c r="E47" s="19" t="s">
        <v>168</v>
      </c>
      <c r="F47" s="16" t="s">
        <v>177</v>
      </c>
      <c r="G47" s="20" t="s">
        <v>42</v>
      </c>
      <c r="H47" s="21">
        <f t="shared" si="10"/>
        <v>3</v>
      </c>
      <c r="I47" s="32" t="s">
        <v>41</v>
      </c>
      <c r="J47" s="32">
        <f t="shared" si="11"/>
        <v>5</v>
      </c>
      <c r="K47" s="38"/>
      <c r="L47" s="16"/>
      <c r="M47" s="16"/>
      <c r="N47" s="16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  <c r="AB47" s="33"/>
      <c r="AC47" s="33"/>
      <c r="AD47" s="33"/>
      <c r="AE47" s="33"/>
      <c r="AF47" s="33"/>
      <c r="AG47" s="33"/>
      <c r="AH47" s="33"/>
      <c r="AI47" s="33"/>
      <c r="AJ47" s="33"/>
      <c r="AK47" s="33"/>
      <c r="AL47" s="33"/>
      <c r="AM47" s="33"/>
    </row>
    <row r="48" s="3" customFormat="1" ht="14.5" customHeight="1" spans="1:39">
      <c r="A48" s="41" t="s">
        <v>13</v>
      </c>
      <c r="B48" s="16" t="s">
        <v>178</v>
      </c>
      <c r="C48" s="17">
        <f ca="1" t="shared" si="9"/>
        <v>0</v>
      </c>
      <c r="D48" s="18" t="s">
        <v>15</v>
      </c>
      <c r="E48" s="19" t="s">
        <v>168</v>
      </c>
      <c r="F48" s="16" t="s">
        <v>179</v>
      </c>
      <c r="G48" s="20" t="s">
        <v>180</v>
      </c>
      <c r="H48" s="21">
        <f t="shared" si="10"/>
        <v>3</v>
      </c>
      <c r="I48" s="32" t="s">
        <v>44</v>
      </c>
      <c r="J48" s="32">
        <f t="shared" si="11"/>
        <v>6</v>
      </c>
      <c r="K48" s="16"/>
      <c r="L48" s="16"/>
      <c r="M48" s="16"/>
      <c r="N48" s="16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  <c r="AE48" s="33"/>
      <c r="AF48" s="33"/>
      <c r="AG48" s="33"/>
      <c r="AH48" s="33"/>
      <c r="AI48" s="33"/>
      <c r="AJ48" s="33"/>
      <c r="AK48" s="33"/>
      <c r="AL48" s="33"/>
      <c r="AM48" s="33"/>
    </row>
    <row r="49" s="3" customFormat="1" ht="14.5" customHeight="1" spans="1:39">
      <c r="A49" s="41" t="s">
        <v>13</v>
      </c>
      <c r="B49" s="16" t="s">
        <v>181</v>
      </c>
      <c r="C49" s="17">
        <f ca="1" t="shared" si="9"/>
        <v>0</v>
      </c>
      <c r="D49" s="18" t="s">
        <v>15</v>
      </c>
      <c r="E49" s="19" t="s">
        <v>168</v>
      </c>
      <c r="F49" s="16" t="s">
        <v>182</v>
      </c>
      <c r="G49" s="20" t="s">
        <v>52</v>
      </c>
      <c r="H49" s="21">
        <f t="shared" si="10"/>
        <v>4</v>
      </c>
      <c r="I49" s="40" t="s">
        <v>53</v>
      </c>
      <c r="J49" s="32">
        <f t="shared" si="11"/>
        <v>17</v>
      </c>
      <c r="K49" s="16"/>
      <c r="L49" s="16"/>
      <c r="M49" s="16"/>
      <c r="N49" s="16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  <c r="AB49" s="33"/>
      <c r="AC49" s="33"/>
      <c r="AD49" s="33"/>
      <c r="AE49" s="33"/>
      <c r="AF49" s="33"/>
      <c r="AG49" s="33"/>
      <c r="AH49" s="33"/>
      <c r="AI49" s="33"/>
      <c r="AJ49" s="33"/>
      <c r="AK49" s="33"/>
      <c r="AL49" s="33"/>
      <c r="AM49" s="33"/>
    </row>
    <row r="50" s="3" customFormat="1" ht="14.5" customHeight="1" spans="1:39">
      <c r="A50" s="41" t="s">
        <v>13</v>
      </c>
      <c r="B50" s="16" t="s">
        <v>183</v>
      </c>
      <c r="C50" s="17">
        <f ca="1" t="shared" si="9"/>
        <v>0</v>
      </c>
      <c r="D50" s="18" t="s">
        <v>15</v>
      </c>
      <c r="E50" s="19" t="s">
        <v>184</v>
      </c>
      <c r="F50" s="16" t="s">
        <v>185</v>
      </c>
      <c r="G50" s="20" t="s">
        <v>186</v>
      </c>
      <c r="H50" s="21">
        <f t="shared" si="10"/>
        <v>4</v>
      </c>
      <c r="I50" s="32" t="s">
        <v>187</v>
      </c>
      <c r="J50" s="32">
        <f t="shared" si="11"/>
        <v>9</v>
      </c>
      <c r="K50" s="16"/>
      <c r="L50" s="16"/>
      <c r="M50" s="16"/>
      <c r="N50" s="16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  <c r="AB50" s="33"/>
      <c r="AC50" s="33"/>
      <c r="AD50" s="33"/>
      <c r="AE50" s="33"/>
      <c r="AF50" s="33"/>
      <c r="AG50" s="33"/>
      <c r="AH50" s="33"/>
      <c r="AI50" s="33"/>
      <c r="AJ50" s="33"/>
      <c r="AK50" s="33"/>
      <c r="AL50" s="33"/>
      <c r="AM50" s="33"/>
    </row>
  </sheetData>
  <mergeCells count="10">
    <mergeCell ref="G1:H1"/>
    <mergeCell ref="I1:J1"/>
    <mergeCell ref="K1:L1"/>
    <mergeCell ref="M1:N1"/>
    <mergeCell ref="A1:A2"/>
    <mergeCell ref="B1:B2"/>
    <mergeCell ref="C1:C2"/>
    <mergeCell ref="D1:D2"/>
    <mergeCell ref="E1:E2"/>
    <mergeCell ref="F1:F2"/>
  </mergeCells>
  <dataValidations count="2">
    <dataValidation type="list" allowBlank="1" showInputMessage="1" showErrorMessage="1" sqref="A4:A16 A18:A30 A32:A39 A41:A50 D4:D16 D18:D30 D32:D39 D41:D50">
      <formula1>#REF!</formula1>
    </dataValidation>
    <dataValidation type="custom" allowBlank="1" showInputMessage="1" showErrorMessage="1" errorTitle="重复的ABBR" error="Abbr是唯一标志码，不能重复。" sqref="B1:B36 B38:B50">
      <formula1>COUNTIF($B:$B,B1)=1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惠岩</cp:lastModifiedBy>
  <dcterms:created xsi:type="dcterms:W3CDTF">2025-06-09T10:30:15Z</dcterms:created>
  <dcterms:modified xsi:type="dcterms:W3CDTF">2025-06-09T11:25:33Z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F5DD66D6A81043D5B38C25ED3CE06880_11</vt:lpwstr>
  </property>
  <property fmtid="{D5CDD505-2E9C-101B-9397-08002B2CF9AE}" pid="3" name="KSOProductBuildVer">
    <vt:lpwstr>2052-12.1.0.21171</vt:lpwstr>
  </property>
</Properties>
</file>