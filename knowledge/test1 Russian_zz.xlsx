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<sst xmlns="http://schemas.openxmlformats.org/spreadsheetml/2006/main" count="515" uniqueCount="341">
  <si>
    <t>版本</t>
  </si>
  <si>
    <t>Abbr</t>
  </si>
  <si>
    <t>创建日期</t>
  </si>
  <si>
    <t>创建人</t>
  </si>
  <si>
    <t>术语中文释义</t>
  </si>
  <si>
    <t>术语英文释义</t>
  </si>
  <si>
    <t>术语俄文释义</t>
  </si>
  <si>
    <t>术语法文释义</t>
  </si>
  <si>
    <t>术语西文释义</t>
  </si>
  <si>
    <t>中文术语</t>
  </si>
  <si>
    <t>英文术语</t>
  </si>
  <si>
    <t>西文术语</t>
  </si>
  <si>
    <t>俄文术语</t>
  </si>
  <si>
    <t>术语</t>
  </si>
  <si>
    <t>字符数</t>
  </si>
  <si>
    <t>测量</t>
  </si>
  <si>
    <t>1.0</t>
  </si>
  <si>
    <t>measurements</t>
  </si>
  <si>
    <t>薛宇</t>
  </si>
  <si>
    <t>Measurements</t>
  </si>
  <si>
    <r>
      <t>鹅</t>
    </r>
    <r>
      <rPr>
        <sz val="11"/>
        <color rgb="FF000000"/>
        <rFont val="Arial"/>
        <charset val="134"/>
      </rPr>
      <t>1</t>
    </r>
  </si>
  <si>
    <r>
      <t>法</t>
    </r>
    <r>
      <rPr>
        <sz val="11"/>
        <color rgb="FF000000"/>
        <rFont val="Arial"/>
        <charset val="134"/>
      </rPr>
      <t>1</t>
    </r>
  </si>
  <si>
    <t>西1</t>
  </si>
  <si>
    <t xml:space="preserve">测量 </t>
  </si>
  <si>
    <r>
      <t>鹅</t>
    </r>
    <r>
      <rPr>
        <sz val="11"/>
        <color rgb="FF000000"/>
        <rFont val="Arial"/>
        <charset val="134"/>
      </rPr>
      <t>2</t>
    </r>
  </si>
  <si>
    <r>
      <t>法</t>
    </r>
    <r>
      <rPr>
        <sz val="11"/>
        <color rgb="FF000000"/>
        <rFont val="Arial"/>
        <charset val="134"/>
      </rPr>
      <t>2</t>
    </r>
  </si>
  <si>
    <t>西2</t>
  </si>
  <si>
    <r>
      <t>鹅</t>
    </r>
    <r>
      <rPr>
        <sz val="11"/>
        <color rgb="FF000000"/>
        <rFont val="Arial"/>
        <charset val="134"/>
      </rPr>
      <t>3</t>
    </r>
  </si>
  <si>
    <r>
      <t>法</t>
    </r>
    <r>
      <rPr>
        <sz val="11"/>
        <color rgb="FF000000"/>
        <rFont val="Arial"/>
        <charset val="134"/>
      </rPr>
      <t>3</t>
    </r>
  </si>
  <si>
    <t>西3</t>
  </si>
  <si>
    <r>
      <t>鹅</t>
    </r>
    <r>
      <rPr>
        <sz val="11"/>
        <color rgb="FF000000"/>
        <rFont val="Arial"/>
        <charset val="134"/>
      </rPr>
      <t>4</t>
    </r>
  </si>
  <si>
    <r>
      <t>法</t>
    </r>
    <r>
      <rPr>
        <sz val="11"/>
        <color rgb="FF000000"/>
        <rFont val="Arial"/>
        <charset val="134"/>
      </rPr>
      <t>4</t>
    </r>
  </si>
  <si>
    <t>西4</t>
  </si>
  <si>
    <t>general</t>
  </si>
  <si>
    <t>2:: 测量/</t>
  </si>
  <si>
    <t>General</t>
  </si>
  <si>
    <r>
      <t>鹅</t>
    </r>
    <r>
      <rPr>
        <sz val="11"/>
        <color rgb="FF000000"/>
        <rFont val="Arial"/>
        <charset val="134"/>
      </rPr>
      <t>5</t>
    </r>
  </si>
  <si>
    <r>
      <t>法</t>
    </r>
    <r>
      <rPr>
        <sz val="11"/>
        <color rgb="FF000000"/>
        <rFont val="Arial"/>
        <charset val="134"/>
      </rPr>
      <t>5</t>
    </r>
  </si>
  <si>
    <t>西5</t>
  </si>
  <si>
    <t xml:space="preserve">通用 </t>
  </si>
  <si>
    <t>general1</t>
  </si>
  <si>
    <r>
      <t>鹅</t>
    </r>
    <r>
      <rPr>
        <sz val="11"/>
        <color rgb="FF000000"/>
        <rFont val="Arial"/>
        <charset val="134"/>
      </rPr>
      <t>6</t>
    </r>
  </si>
  <si>
    <r>
      <t>法</t>
    </r>
    <r>
      <rPr>
        <sz val="11"/>
        <color rgb="FF000000"/>
        <rFont val="Arial"/>
        <charset val="134"/>
      </rPr>
      <t>6</t>
    </r>
  </si>
  <si>
    <t>西6</t>
  </si>
  <si>
    <t>general2</t>
  </si>
  <si>
    <r>
      <t>鹅</t>
    </r>
    <r>
      <rPr>
        <sz val="11"/>
        <color rgb="FF000000"/>
        <rFont val="Arial"/>
        <charset val="134"/>
      </rPr>
      <t>7</t>
    </r>
  </si>
  <si>
    <r>
      <t>法</t>
    </r>
    <r>
      <rPr>
        <sz val="11"/>
        <color rgb="FF000000"/>
        <rFont val="Arial"/>
        <charset val="134"/>
      </rPr>
      <t>7</t>
    </r>
  </si>
  <si>
    <t>西7</t>
  </si>
  <si>
    <t>general3</t>
  </si>
  <si>
    <r>
      <t>鹅</t>
    </r>
    <r>
      <rPr>
        <sz val="11"/>
        <color rgb="FF000000"/>
        <rFont val="Arial"/>
        <charset val="134"/>
      </rPr>
      <t>8</t>
    </r>
  </si>
  <si>
    <r>
      <t>法</t>
    </r>
    <r>
      <rPr>
        <sz val="11"/>
        <color rgb="FF000000"/>
        <rFont val="Arial"/>
        <charset val="134"/>
      </rPr>
      <t>8</t>
    </r>
  </si>
  <si>
    <t>西8</t>
  </si>
  <si>
    <t>sq_comp</t>
  </si>
  <si>
    <t>2: 测量/</t>
  </si>
  <si>
    <t>Sequence components</t>
  </si>
  <si>
    <r>
      <t>鹅</t>
    </r>
    <r>
      <rPr>
        <sz val="11"/>
        <color rgb="FF000000"/>
        <rFont val="Arial"/>
        <charset val="134"/>
      </rPr>
      <t>9</t>
    </r>
  </si>
  <si>
    <r>
      <t>法</t>
    </r>
    <r>
      <rPr>
        <sz val="11"/>
        <color rgb="FF000000"/>
        <rFont val="Arial"/>
        <charset val="134"/>
      </rPr>
      <t>9</t>
    </r>
  </si>
  <si>
    <t>西9</t>
  </si>
  <si>
    <t>序分量</t>
  </si>
  <si>
    <t>Sequence Components</t>
  </si>
  <si>
    <t>harmonic</t>
  </si>
  <si>
    <t>Harmonic</t>
  </si>
  <si>
    <r>
      <t>鹅</t>
    </r>
    <r>
      <rPr>
        <sz val="11"/>
        <color rgb="FF000000"/>
        <rFont val="Arial"/>
        <charset val="134"/>
      </rPr>
      <t>10</t>
    </r>
  </si>
  <si>
    <r>
      <t>法</t>
    </r>
    <r>
      <rPr>
        <sz val="11"/>
        <color rgb="FF000000"/>
        <rFont val="Arial"/>
        <charset val="134"/>
      </rPr>
      <t>10</t>
    </r>
  </si>
  <si>
    <t>西10</t>
  </si>
  <si>
    <t xml:space="preserve">谐波 </t>
  </si>
  <si>
    <t>angle</t>
  </si>
  <si>
    <t>Angle</t>
  </si>
  <si>
    <r>
      <t>鹅</t>
    </r>
    <r>
      <rPr>
        <sz val="11"/>
        <color rgb="FF000000"/>
        <rFont val="Arial"/>
        <charset val="134"/>
      </rPr>
      <t>11</t>
    </r>
  </si>
  <si>
    <r>
      <t>法</t>
    </r>
    <r>
      <rPr>
        <sz val="11"/>
        <color rgb="FF000000"/>
        <rFont val="Arial"/>
        <charset val="134"/>
      </rPr>
      <t>11</t>
    </r>
  </si>
  <si>
    <t>西11</t>
  </si>
  <si>
    <t xml:space="preserve">角度 </t>
  </si>
  <si>
    <t>frequency</t>
  </si>
  <si>
    <t>Frequency</t>
  </si>
  <si>
    <r>
      <t>鹅</t>
    </r>
    <r>
      <rPr>
        <sz val="11"/>
        <color rgb="FF000000"/>
        <rFont val="Arial"/>
        <charset val="134"/>
      </rPr>
      <t>12</t>
    </r>
  </si>
  <si>
    <r>
      <t>法</t>
    </r>
    <r>
      <rPr>
        <sz val="11"/>
        <color rgb="FF000000"/>
        <rFont val="Arial"/>
        <charset val="134"/>
      </rPr>
      <t>12</t>
    </r>
  </si>
  <si>
    <t>西12</t>
  </si>
  <si>
    <t xml:space="preserve">频率 </t>
  </si>
  <si>
    <t>sync_mea</t>
  </si>
  <si>
    <t>Synchronization measurements</t>
  </si>
  <si>
    <r>
      <t>鹅</t>
    </r>
    <r>
      <rPr>
        <sz val="11"/>
        <color rgb="FF000000"/>
        <rFont val="Arial"/>
        <charset val="134"/>
      </rPr>
      <t>13</t>
    </r>
  </si>
  <si>
    <r>
      <t>法</t>
    </r>
    <r>
      <rPr>
        <sz val="11"/>
        <color rgb="FF000000"/>
        <rFont val="Arial"/>
        <charset val="134"/>
      </rPr>
      <t>13</t>
    </r>
  </si>
  <si>
    <t>西13</t>
  </si>
  <si>
    <t xml:space="preserve">同期测量 </t>
  </si>
  <si>
    <t>Synchrocheck Values</t>
  </si>
  <si>
    <t>power</t>
  </si>
  <si>
    <t>Power</t>
  </si>
  <si>
    <r>
      <t>鹅</t>
    </r>
    <r>
      <rPr>
        <sz val="11"/>
        <color rgb="FF000000"/>
        <rFont val="Arial"/>
        <charset val="134"/>
      </rPr>
      <t>14</t>
    </r>
  </si>
  <si>
    <r>
      <t>法</t>
    </r>
    <r>
      <rPr>
        <sz val="11"/>
        <color rgb="FF000000"/>
        <rFont val="Arial"/>
        <charset val="134"/>
      </rPr>
      <t>14</t>
    </r>
  </si>
  <si>
    <t>西14</t>
  </si>
  <si>
    <t xml:space="preserve">功率 </t>
  </si>
  <si>
    <t>energy</t>
  </si>
  <si>
    <t>Energy</t>
  </si>
  <si>
    <r>
      <t>鹅</t>
    </r>
    <r>
      <rPr>
        <sz val="11"/>
        <color rgb="FF000000"/>
        <rFont val="Arial"/>
        <charset val="134"/>
      </rPr>
      <t>15</t>
    </r>
  </si>
  <si>
    <r>
      <t>法</t>
    </r>
    <r>
      <rPr>
        <sz val="11"/>
        <color rgb="FF000000"/>
        <rFont val="Arial"/>
        <charset val="134"/>
      </rPr>
      <t>15</t>
    </r>
  </si>
  <si>
    <t>西15</t>
  </si>
  <si>
    <t xml:space="preserve">电能量 </t>
  </si>
  <si>
    <t>power_qua</t>
  </si>
  <si>
    <t>Power quality</t>
  </si>
  <si>
    <r>
      <t>鹅</t>
    </r>
    <r>
      <rPr>
        <sz val="11"/>
        <color rgb="FF000000"/>
        <rFont val="Arial"/>
        <charset val="134"/>
      </rPr>
      <t>16</t>
    </r>
  </si>
  <si>
    <r>
      <t>法</t>
    </r>
    <r>
      <rPr>
        <sz val="11"/>
        <color rgb="FF000000"/>
        <rFont val="Arial"/>
        <charset val="134"/>
      </rPr>
      <t>16</t>
    </r>
  </si>
  <si>
    <t>西16</t>
  </si>
  <si>
    <t xml:space="preserve">电能质量 </t>
  </si>
  <si>
    <t>Power Quality</t>
  </si>
  <si>
    <t>trans_val</t>
  </si>
  <si>
    <t>Transducer values</t>
  </si>
  <si>
    <r>
      <t>鹅</t>
    </r>
    <r>
      <rPr>
        <sz val="11"/>
        <color rgb="FF000000"/>
        <rFont val="Arial"/>
        <charset val="134"/>
      </rPr>
      <t>17</t>
    </r>
  </si>
  <si>
    <r>
      <t>法</t>
    </r>
    <r>
      <rPr>
        <sz val="11"/>
        <color rgb="FF000000"/>
        <rFont val="Arial"/>
        <charset val="134"/>
      </rPr>
      <t>17</t>
    </r>
  </si>
  <si>
    <t>西17</t>
  </si>
  <si>
    <t xml:space="preserve">传感器 </t>
  </si>
  <si>
    <t>Transducer Values</t>
  </si>
  <si>
    <t>dc_val</t>
  </si>
  <si>
    <t>DC output values</t>
  </si>
  <si>
    <r>
      <t>鹅</t>
    </r>
    <r>
      <rPr>
        <sz val="11"/>
        <color rgb="FF000000"/>
        <rFont val="Arial"/>
        <charset val="134"/>
      </rPr>
      <t>18</t>
    </r>
  </si>
  <si>
    <r>
      <t>法</t>
    </r>
    <r>
      <rPr>
        <sz val="11"/>
        <color rgb="FF000000"/>
        <rFont val="Arial"/>
        <charset val="134"/>
      </rPr>
      <t>18</t>
    </r>
  </si>
  <si>
    <t>西18</t>
  </si>
  <si>
    <t xml:space="preserve">直流输出 </t>
  </si>
  <si>
    <t>DC Outputs</t>
  </si>
  <si>
    <t>ad2_mea</t>
  </si>
  <si>
    <t>AD group 2 measurements</t>
  </si>
  <si>
    <r>
      <t>鹅</t>
    </r>
    <r>
      <rPr>
        <sz val="11"/>
        <color rgb="FF000000"/>
        <rFont val="Arial"/>
        <charset val="134"/>
      </rPr>
      <t>19</t>
    </r>
  </si>
  <si>
    <r>
      <t>法</t>
    </r>
    <r>
      <rPr>
        <sz val="11"/>
        <color rgb="FF000000"/>
        <rFont val="Arial"/>
        <charset val="134"/>
      </rPr>
      <t>19</t>
    </r>
  </si>
  <si>
    <t>西19</t>
  </si>
  <si>
    <t>第二组AD测量</t>
  </si>
  <si>
    <t>Group 2 AD Measurements</t>
  </si>
  <si>
    <t>status</t>
  </si>
  <si>
    <t>Status</t>
  </si>
  <si>
    <r>
      <t>鹅</t>
    </r>
    <r>
      <rPr>
        <sz val="11"/>
        <color rgb="FF000000"/>
        <rFont val="Arial"/>
        <charset val="134"/>
      </rPr>
      <t>21</t>
    </r>
  </si>
  <si>
    <r>
      <t>法</t>
    </r>
    <r>
      <rPr>
        <sz val="11"/>
        <color rgb="FF000000"/>
        <rFont val="Arial"/>
        <charset val="134"/>
      </rPr>
      <t>21</t>
    </r>
  </si>
  <si>
    <t>西21</t>
  </si>
  <si>
    <t xml:space="preserve">状态 </t>
  </si>
  <si>
    <t>State</t>
  </si>
  <si>
    <t>bi_in</t>
  </si>
  <si>
    <t>2: 状态/</t>
  </si>
  <si>
    <t>Binary inputs</t>
  </si>
  <si>
    <r>
      <t>鹅</t>
    </r>
    <r>
      <rPr>
        <sz val="11"/>
        <color rgb="FF000000"/>
        <rFont val="Arial"/>
        <charset val="134"/>
      </rPr>
      <t>22</t>
    </r>
  </si>
  <si>
    <r>
      <t>法</t>
    </r>
    <r>
      <rPr>
        <sz val="11"/>
        <color rgb="FF000000"/>
        <rFont val="Arial"/>
        <charset val="134"/>
      </rPr>
      <t>22</t>
    </r>
  </si>
  <si>
    <t>西22</t>
  </si>
  <si>
    <t xml:space="preserve">输入 </t>
  </si>
  <si>
    <t>Inputs</t>
  </si>
  <si>
    <t>gen_in</t>
  </si>
  <si>
    <t>3: 状态/输入/</t>
  </si>
  <si>
    <t>general inputs</t>
  </si>
  <si>
    <r>
      <t>鹅</t>
    </r>
    <r>
      <rPr>
        <sz val="11"/>
        <color rgb="FF000000"/>
        <rFont val="Arial"/>
        <charset val="134"/>
      </rPr>
      <t>23</t>
    </r>
  </si>
  <si>
    <r>
      <t>法</t>
    </r>
    <r>
      <rPr>
        <sz val="11"/>
        <color rgb="FF000000"/>
        <rFont val="Arial"/>
        <charset val="134"/>
      </rPr>
      <t>23</t>
    </r>
  </si>
  <si>
    <t>西23</t>
  </si>
  <si>
    <t>通用开入</t>
  </si>
  <si>
    <t>General Inputs</t>
  </si>
  <si>
    <t>tap_pos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</si>
  <si>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状态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输入</t>
    </r>
    <r>
      <rPr>
        <sz val="11"/>
        <color rgb="FF000000"/>
        <rFont val="Arial"/>
        <charset val="134"/>
      </rPr>
      <t>/</t>
    </r>
  </si>
  <si>
    <t>Tap position</t>
  </si>
  <si>
    <r>
      <t>鹅</t>
    </r>
    <r>
      <rPr>
        <sz val="11"/>
        <color rgb="FF000000"/>
        <rFont val="Arial"/>
        <charset val="134"/>
      </rPr>
      <t>24</t>
    </r>
  </si>
  <si>
    <r>
      <t>法</t>
    </r>
    <r>
      <rPr>
        <sz val="11"/>
        <color rgb="FF000000"/>
        <rFont val="Arial"/>
        <charset val="134"/>
      </rPr>
      <t>24</t>
    </r>
  </si>
  <si>
    <t>西24</t>
  </si>
  <si>
    <t xml:space="preserve">档位 </t>
  </si>
  <si>
    <t>Tap Position</t>
  </si>
  <si>
    <t>goose_in</t>
  </si>
  <si>
    <t>GOOSE inputs</t>
  </si>
  <si>
    <r>
      <t>鹅</t>
    </r>
    <r>
      <rPr>
        <sz val="11"/>
        <color rgb="FF000000"/>
        <rFont val="Arial"/>
        <charset val="134"/>
      </rPr>
      <t>25</t>
    </r>
  </si>
  <si>
    <r>
      <t>法</t>
    </r>
    <r>
      <rPr>
        <sz val="11"/>
        <color rgb="FF000000"/>
        <rFont val="Arial"/>
        <charset val="134"/>
      </rPr>
      <t>25</t>
    </r>
  </si>
  <si>
    <t>西25</t>
  </si>
  <si>
    <t xml:space="preserve">GOOSE输入 </t>
  </si>
  <si>
    <t>GOOSE Inputs</t>
  </si>
  <si>
    <t>bi_out</t>
  </si>
  <si>
    <t>2 状态/</t>
  </si>
  <si>
    <t>Binary outputs</t>
  </si>
  <si>
    <r>
      <t>鹅</t>
    </r>
    <r>
      <rPr>
        <sz val="11"/>
        <color rgb="FF000000"/>
        <rFont val="Arial"/>
        <charset val="134"/>
      </rPr>
      <t>26</t>
    </r>
  </si>
  <si>
    <r>
      <t>法</t>
    </r>
    <r>
      <rPr>
        <sz val="11"/>
        <color rgb="FF000000"/>
        <rFont val="Arial"/>
        <charset val="134"/>
      </rPr>
      <t>26</t>
    </r>
  </si>
  <si>
    <t>西26</t>
  </si>
  <si>
    <t xml:space="preserve">输出 </t>
  </si>
  <si>
    <t>Outputs</t>
  </si>
  <si>
    <t>actions</t>
  </si>
  <si>
    <t>3: 状态/输出/</t>
  </si>
  <si>
    <t>Actions</t>
  </si>
  <si>
    <r>
      <t>鹅</t>
    </r>
    <r>
      <rPr>
        <sz val="11"/>
        <color rgb="FF000000"/>
        <rFont val="Arial"/>
        <charset val="134"/>
      </rPr>
      <t>27</t>
    </r>
  </si>
  <si>
    <r>
      <t>法</t>
    </r>
    <r>
      <rPr>
        <sz val="11"/>
        <color rgb="FF000000"/>
        <rFont val="Arial"/>
        <charset val="134"/>
      </rPr>
      <t>27</t>
    </r>
  </si>
  <si>
    <t>西27</t>
  </si>
  <si>
    <t>动作状态</t>
  </si>
  <si>
    <t>intlock_info</t>
  </si>
  <si>
    <t>Interlock information</t>
  </si>
  <si>
    <r>
      <t>鹅</t>
    </r>
    <r>
      <rPr>
        <sz val="11"/>
        <color rgb="FF000000"/>
        <rFont val="Arial"/>
        <charset val="134"/>
      </rPr>
      <t>28</t>
    </r>
  </si>
  <si>
    <r>
      <t>法</t>
    </r>
    <r>
      <rPr>
        <sz val="11"/>
        <color rgb="FF000000"/>
        <rFont val="Arial"/>
        <charset val="134"/>
      </rPr>
      <t>28</t>
    </r>
  </si>
  <si>
    <t>西28</t>
  </si>
  <si>
    <t>联闭锁状态</t>
  </si>
  <si>
    <t>Interlock State</t>
  </si>
  <si>
    <t>dpos_sta</t>
  </si>
  <si>
    <t>Double position</t>
  </si>
  <si>
    <r>
      <t>鹅</t>
    </r>
    <r>
      <rPr>
        <sz val="11"/>
        <color rgb="FF000000"/>
        <rFont val="Arial"/>
        <charset val="134"/>
      </rPr>
      <t>29</t>
    </r>
  </si>
  <si>
    <r>
      <t>法</t>
    </r>
    <r>
      <rPr>
        <sz val="11"/>
        <color rgb="FF000000"/>
        <rFont val="Arial"/>
        <charset val="134"/>
      </rPr>
      <t>29</t>
    </r>
  </si>
  <si>
    <t>西29</t>
  </si>
  <si>
    <t>双位置状态</t>
  </si>
  <si>
    <t>Double Position</t>
  </si>
  <si>
    <t>self_chk</t>
  </si>
  <si>
    <t>Selfcheck information</t>
  </si>
  <si>
    <r>
      <t>鹅</t>
    </r>
    <r>
      <rPr>
        <sz val="11"/>
        <color rgb="FF000000"/>
        <rFont val="Arial"/>
        <charset val="134"/>
      </rPr>
      <t>30</t>
    </r>
  </si>
  <si>
    <r>
      <t>法</t>
    </r>
    <r>
      <rPr>
        <sz val="11"/>
        <color rgb="FF000000"/>
        <rFont val="Arial"/>
        <charset val="134"/>
      </rPr>
      <t>30</t>
    </r>
  </si>
  <si>
    <t>西30</t>
  </si>
  <si>
    <t>自检状态</t>
  </si>
  <si>
    <t>Supervision State</t>
  </si>
  <si>
    <t>run_sta</t>
  </si>
  <si>
    <t>Operational status</t>
  </si>
  <si>
    <r>
      <t>鹅</t>
    </r>
    <r>
      <rPr>
        <sz val="11"/>
        <color rgb="FF000000"/>
        <rFont val="Arial"/>
        <charset val="134"/>
      </rPr>
      <t>31</t>
    </r>
  </si>
  <si>
    <r>
      <t>法</t>
    </r>
    <r>
      <rPr>
        <sz val="11"/>
        <color rgb="FF000000"/>
        <rFont val="Arial"/>
        <charset val="134"/>
      </rPr>
      <t>31</t>
    </r>
  </si>
  <si>
    <t>西31</t>
  </si>
  <si>
    <t xml:space="preserve">运行状态 </t>
  </si>
  <si>
    <t>Running State</t>
  </si>
  <si>
    <t>comm_sta</t>
  </si>
  <si>
    <t>Communication status</t>
  </si>
  <si>
    <r>
      <t>鹅</t>
    </r>
    <r>
      <rPr>
        <sz val="11"/>
        <color rgb="FF000000"/>
        <rFont val="Arial"/>
        <charset val="134"/>
      </rPr>
      <t>32</t>
    </r>
  </si>
  <si>
    <r>
      <t>法</t>
    </r>
    <r>
      <rPr>
        <sz val="11"/>
        <color rgb="FF000000"/>
        <rFont val="Arial"/>
        <charset val="134"/>
      </rPr>
      <t>32</t>
    </r>
  </si>
  <si>
    <t>西32</t>
  </si>
  <si>
    <t xml:space="preserve">通信状态 </t>
  </si>
  <si>
    <t>Communication State</t>
  </si>
  <si>
    <t>goose_out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</si>
  <si>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状态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输出</t>
    </r>
    <r>
      <rPr>
        <sz val="11"/>
        <color rgb="FF000000"/>
        <rFont val="Arial"/>
        <charset val="134"/>
      </rPr>
      <t>/</t>
    </r>
  </si>
  <si>
    <t>GOOSE outputs</t>
  </si>
  <si>
    <r>
      <t>鹅</t>
    </r>
    <r>
      <rPr>
        <sz val="11"/>
        <color rgb="FF000000"/>
        <rFont val="Arial"/>
        <charset val="134"/>
      </rPr>
      <t>33</t>
    </r>
  </si>
  <si>
    <r>
      <t>法</t>
    </r>
    <r>
      <rPr>
        <sz val="11"/>
        <color rgb="FF000000"/>
        <rFont val="Arial"/>
        <charset val="134"/>
      </rPr>
      <t>33</t>
    </r>
  </si>
  <si>
    <t>西33</t>
  </si>
  <si>
    <t>GOOSE输出</t>
  </si>
  <si>
    <t>GOOSE Outputs</t>
  </si>
  <si>
    <t>logs</t>
  </si>
  <si>
    <t>Logs</t>
  </si>
  <si>
    <r>
      <t>鹅</t>
    </r>
    <r>
      <rPr>
        <sz val="11"/>
        <color rgb="FF000000"/>
        <rFont val="Arial"/>
        <charset val="134"/>
      </rPr>
      <t>35</t>
    </r>
  </si>
  <si>
    <r>
      <t>法</t>
    </r>
    <r>
      <rPr>
        <sz val="11"/>
        <color rgb="FF000000"/>
        <rFont val="Arial"/>
        <charset val="134"/>
      </rPr>
      <t>35</t>
    </r>
  </si>
  <si>
    <t>西35</t>
  </si>
  <si>
    <t xml:space="preserve">日志 </t>
  </si>
  <si>
    <t>bi_chg_log</t>
  </si>
  <si>
    <t>2: 日志/</t>
  </si>
  <si>
    <t>Binary change information</t>
  </si>
  <si>
    <r>
      <t>鹅</t>
    </r>
    <r>
      <rPr>
        <sz val="11"/>
        <color rgb="FF000000"/>
        <rFont val="Arial"/>
        <charset val="134"/>
      </rPr>
      <t>36</t>
    </r>
  </si>
  <si>
    <r>
      <t>法</t>
    </r>
    <r>
      <rPr>
        <sz val="11"/>
        <color rgb="FF000000"/>
        <rFont val="Arial"/>
        <charset val="134"/>
      </rPr>
      <t>36</t>
    </r>
  </si>
  <si>
    <t>西36</t>
  </si>
  <si>
    <t xml:space="preserve">变位日志 </t>
  </si>
  <si>
    <t>Binary Change Logs</t>
  </si>
  <si>
    <t>self_chk_log</t>
  </si>
  <si>
    <t>Selfcheck log</t>
  </si>
  <si>
    <r>
      <t>鹅</t>
    </r>
    <r>
      <rPr>
        <sz val="11"/>
        <color rgb="FF000000"/>
        <rFont val="Arial"/>
        <charset val="134"/>
      </rPr>
      <t>37</t>
    </r>
  </si>
  <si>
    <r>
      <t>法</t>
    </r>
    <r>
      <rPr>
        <sz val="11"/>
        <color rgb="FF000000"/>
        <rFont val="Arial"/>
        <charset val="134"/>
      </rPr>
      <t>37</t>
    </r>
  </si>
  <si>
    <t>西37</t>
  </si>
  <si>
    <t xml:space="preserve">自检日志 </t>
  </si>
  <si>
    <t>Supervision logs</t>
  </si>
  <si>
    <t>fault_log</t>
  </si>
  <si>
    <t>Fault log</t>
  </si>
  <si>
    <r>
      <t>鹅</t>
    </r>
    <r>
      <rPr>
        <sz val="11"/>
        <color rgb="FF000000"/>
        <rFont val="Arial"/>
        <charset val="134"/>
      </rPr>
      <t>38</t>
    </r>
  </si>
  <si>
    <r>
      <t>法</t>
    </r>
    <r>
      <rPr>
        <sz val="11"/>
        <color rgb="FF000000"/>
        <rFont val="Arial"/>
        <charset val="134"/>
      </rPr>
      <t>38</t>
    </r>
  </si>
  <si>
    <t>西38</t>
  </si>
  <si>
    <t xml:space="preserve">故障日志 </t>
  </si>
  <si>
    <t>Fault Logs</t>
  </si>
  <si>
    <t>oper_log</t>
  </si>
  <si>
    <t>Operate log</t>
  </si>
  <si>
    <r>
      <t>鹅</t>
    </r>
    <r>
      <rPr>
        <sz val="11"/>
        <color rgb="FF000000"/>
        <rFont val="Arial"/>
        <charset val="134"/>
      </rPr>
      <t>39</t>
    </r>
  </si>
  <si>
    <r>
      <t>法</t>
    </r>
    <r>
      <rPr>
        <sz val="11"/>
        <color rgb="FF000000"/>
        <rFont val="Arial"/>
        <charset val="134"/>
      </rPr>
      <t>39</t>
    </r>
  </si>
  <si>
    <t>西39</t>
  </si>
  <si>
    <t xml:space="preserve">操作日志 </t>
  </si>
  <si>
    <t>Operating Logs</t>
  </si>
  <si>
    <t>dev_log</t>
  </si>
  <si>
    <t>Device log</t>
  </si>
  <si>
    <r>
      <t>鹅</t>
    </r>
    <r>
      <rPr>
        <sz val="11"/>
        <color rgb="FF000000"/>
        <rFont val="Arial"/>
        <charset val="134"/>
      </rPr>
      <t>40</t>
    </r>
  </si>
  <si>
    <r>
      <t>法</t>
    </r>
    <r>
      <rPr>
        <sz val="11"/>
        <color rgb="FF000000"/>
        <rFont val="Arial"/>
        <charset val="134"/>
      </rPr>
      <t>40</t>
    </r>
  </si>
  <si>
    <t>西40</t>
  </si>
  <si>
    <t xml:space="preserve">装置日志 </t>
  </si>
  <si>
    <t>Device Running Logs</t>
  </si>
  <si>
    <t>audit_log</t>
  </si>
  <si>
    <t>audit log</t>
  </si>
  <si>
    <r>
      <t>鹅</t>
    </r>
    <r>
      <rPr>
        <sz val="11"/>
        <color rgb="FF000000"/>
        <rFont val="Arial"/>
        <charset val="134"/>
      </rPr>
      <t>41</t>
    </r>
  </si>
  <si>
    <r>
      <t>法</t>
    </r>
    <r>
      <rPr>
        <sz val="11"/>
        <color rgb="FF000000"/>
        <rFont val="Arial"/>
        <charset val="134"/>
      </rPr>
      <t>41</t>
    </r>
  </si>
  <si>
    <t>西41</t>
  </si>
  <si>
    <t>审计日志</t>
  </si>
  <si>
    <t>Audit Logs</t>
  </si>
  <si>
    <t>soe_log</t>
  </si>
  <si>
    <t>SOE</t>
  </si>
  <si>
    <r>
      <t>鹅</t>
    </r>
    <r>
      <rPr>
        <sz val="11"/>
        <color rgb="FF000000"/>
        <rFont val="Arial"/>
        <charset val="134"/>
      </rPr>
      <t>42</t>
    </r>
  </si>
  <si>
    <r>
      <t>法</t>
    </r>
    <r>
      <rPr>
        <sz val="11"/>
        <color rgb="FF000000"/>
        <rFont val="Arial"/>
        <charset val="134"/>
      </rPr>
      <t>42</t>
    </r>
  </si>
  <si>
    <t>西42</t>
  </si>
  <si>
    <t>settings</t>
  </si>
  <si>
    <t>Settings</t>
  </si>
  <si>
    <r>
      <t>鹅</t>
    </r>
    <r>
      <rPr>
        <sz val="11"/>
        <color rgb="FF000000"/>
        <rFont val="Arial"/>
        <charset val="134"/>
      </rPr>
      <t>44</t>
    </r>
  </si>
  <si>
    <r>
      <t>法</t>
    </r>
    <r>
      <rPr>
        <sz val="11"/>
        <color rgb="FF000000"/>
        <rFont val="Arial"/>
        <charset val="134"/>
      </rPr>
      <t>44</t>
    </r>
  </si>
  <si>
    <t>西44</t>
  </si>
  <si>
    <t xml:space="preserve">定值 </t>
  </si>
  <si>
    <t>equi_para</t>
  </si>
  <si>
    <t>2: 定值/</t>
  </si>
  <si>
    <t>Equipment</t>
  </si>
  <si>
    <r>
      <t>鹅</t>
    </r>
    <r>
      <rPr>
        <sz val="11"/>
        <color rgb="FF000000"/>
        <rFont val="Arial"/>
        <charset val="134"/>
      </rPr>
      <t>45</t>
    </r>
  </si>
  <si>
    <r>
      <t>法</t>
    </r>
    <r>
      <rPr>
        <sz val="11"/>
        <color rgb="FF000000"/>
        <rFont val="Arial"/>
        <charset val="134"/>
      </rPr>
      <t>45</t>
    </r>
  </si>
  <si>
    <t>西45</t>
  </si>
  <si>
    <t xml:space="preserve">设备参数 </t>
  </si>
  <si>
    <t>System Settings</t>
  </si>
  <si>
    <t>pro_set</t>
  </si>
  <si>
    <t>Protection</t>
  </si>
  <si>
    <r>
      <t>鹅</t>
    </r>
    <r>
      <rPr>
        <sz val="11"/>
        <color rgb="FF000000"/>
        <rFont val="Arial"/>
        <charset val="134"/>
      </rPr>
      <t>46</t>
    </r>
  </si>
  <si>
    <r>
      <t>法</t>
    </r>
    <r>
      <rPr>
        <sz val="11"/>
        <color rgb="FF000000"/>
        <rFont val="Arial"/>
        <charset val="134"/>
      </rPr>
      <t>46</t>
    </r>
  </si>
  <si>
    <t>西46</t>
  </si>
  <si>
    <t xml:space="preserve">保护定值 </t>
  </si>
  <si>
    <t>Protection Settings</t>
  </si>
  <si>
    <t>mea_set</t>
  </si>
  <si>
    <t>Measurment</t>
  </si>
  <si>
    <r>
      <t>鹅</t>
    </r>
    <r>
      <rPr>
        <sz val="11"/>
        <color rgb="FF000000"/>
        <rFont val="Arial"/>
        <charset val="134"/>
      </rPr>
      <t>47</t>
    </r>
  </si>
  <si>
    <r>
      <t>法</t>
    </r>
    <r>
      <rPr>
        <sz val="11"/>
        <color rgb="FF000000"/>
        <rFont val="Arial"/>
        <charset val="134"/>
      </rPr>
      <t>47</t>
    </r>
  </si>
  <si>
    <t>西47</t>
  </si>
  <si>
    <t>Measurement Settings</t>
  </si>
  <si>
    <t>gen_set</t>
  </si>
  <si>
    <t>3: 定值/测量定值</t>
  </si>
  <si>
    <t>general settings</t>
  </si>
  <si>
    <r>
      <t>鹅</t>
    </r>
    <r>
      <rPr>
        <sz val="11"/>
        <color rgb="FF000000"/>
        <rFont val="Arial"/>
        <charset val="134"/>
      </rPr>
      <t>48</t>
    </r>
  </si>
  <si>
    <r>
      <t>法</t>
    </r>
    <r>
      <rPr>
        <sz val="11"/>
        <color rgb="FF000000"/>
        <rFont val="Arial"/>
        <charset val="134"/>
      </rPr>
      <t>48</t>
    </r>
  </si>
  <si>
    <t>西48</t>
  </si>
  <si>
    <t>通用定值</t>
  </si>
  <si>
    <t>General Settings</t>
  </si>
  <si>
    <t>sync_set</t>
  </si>
  <si>
    <t>Synchronization settings</t>
  </si>
  <si>
    <r>
      <t>鹅</t>
    </r>
    <r>
      <rPr>
        <sz val="11"/>
        <color rgb="FF000000"/>
        <rFont val="Arial"/>
        <charset val="134"/>
      </rPr>
      <t>49</t>
    </r>
  </si>
  <si>
    <r>
      <t>法</t>
    </r>
    <r>
      <rPr>
        <sz val="11"/>
        <color rgb="FF000000"/>
        <rFont val="Arial"/>
        <charset val="134"/>
      </rPr>
      <t>49</t>
    </r>
  </si>
  <si>
    <t>西49</t>
  </si>
  <si>
    <t xml:space="preserve">同期 </t>
  </si>
  <si>
    <t>Synchrocheck</t>
  </si>
  <si>
    <t>power_set</t>
  </si>
  <si>
    <t>Power settings</t>
  </si>
  <si>
    <r>
      <t>鹅</t>
    </r>
    <r>
      <rPr>
        <sz val="11"/>
        <color rgb="FF000000"/>
        <rFont val="Arial"/>
        <charset val="134"/>
      </rPr>
      <t>50</t>
    </r>
  </si>
  <si>
    <r>
      <t>法</t>
    </r>
    <r>
      <rPr>
        <sz val="11"/>
        <color rgb="FF000000"/>
        <rFont val="Arial"/>
        <charset val="134"/>
      </rPr>
      <t>50</t>
    </r>
  </si>
  <si>
    <t>西50</t>
  </si>
  <si>
    <t>energy_set</t>
  </si>
  <si>
    <t>Energy settings</t>
  </si>
  <si>
    <r>
      <t>鹅</t>
    </r>
    <r>
      <rPr>
        <sz val="11"/>
        <color rgb="FF000000"/>
        <rFont val="Arial"/>
        <charset val="134"/>
      </rPr>
      <t>51</t>
    </r>
  </si>
  <si>
    <r>
      <t>法</t>
    </r>
    <r>
      <rPr>
        <sz val="11"/>
        <color rgb="FF000000"/>
        <rFont val="Arial"/>
        <charset val="134"/>
      </rPr>
      <t>51</t>
    </r>
  </si>
  <si>
    <t>西51</t>
  </si>
  <si>
    <t xml:space="preserve">计量 </t>
  </si>
  <si>
    <t>trans_set</t>
  </si>
  <si>
    <t>Transducer settings</t>
  </si>
  <si>
    <r>
      <t>鹅</t>
    </r>
    <r>
      <rPr>
        <sz val="11"/>
        <color rgb="FF000000"/>
        <rFont val="Arial"/>
        <charset val="134"/>
      </rPr>
      <t>52</t>
    </r>
  </si>
  <si>
    <r>
      <t>法</t>
    </r>
    <r>
      <rPr>
        <sz val="11"/>
        <color rgb="FF000000"/>
        <rFont val="Arial"/>
        <charset val="134"/>
      </rPr>
      <t>52</t>
    </r>
  </si>
  <si>
    <t>西52</t>
  </si>
  <si>
    <t>intlock_set</t>
  </si>
  <si>
    <r>
      <rPr>
        <sz val="11"/>
        <color rgb="FF000000"/>
        <rFont val="Arial"/>
        <charset val="134"/>
      </rPr>
      <t xml:space="preserve">3: </t>
    </r>
    <r>
      <rPr>
        <sz val="11"/>
        <color rgb="FF000000"/>
        <rFont val="宋体"/>
        <charset val="134"/>
      </rPr>
      <t>定值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控制</t>
    </r>
  </si>
  <si>
    <t>Interlock settings</t>
  </si>
  <si>
    <r>
      <t>鹅</t>
    </r>
    <r>
      <rPr>
        <sz val="11"/>
        <color rgb="FF000000"/>
        <rFont val="Arial"/>
        <charset val="134"/>
      </rPr>
      <t>53</t>
    </r>
  </si>
  <si>
    <r>
      <t>法</t>
    </r>
    <r>
      <rPr>
        <sz val="11"/>
        <color rgb="FF000000"/>
        <rFont val="Arial"/>
        <charset val="134"/>
      </rPr>
      <t>53</t>
    </r>
  </si>
  <si>
    <t>西53</t>
  </si>
  <si>
    <t xml:space="preserve">联闭锁 </t>
  </si>
  <si>
    <t>Interlock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</si>
</sst>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Arial"/>
      <charset val="134"/>
    </font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Arial"/>
      <charset val="134"/>
    </font>
    <font>
      <b/>
      <sz val="11"/>
      <color rgb="FF000000"/>
      <name val="Times New Roman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rgb="FFFF0000"/>
      <name val="Arial"/>
      <charset val="134"/>
    </font>
    <font>
      <b/>
      <sz val="11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 hidden="1"/>
    </xf>
    <xf numFmtId="0" fontId="5" fillId="2" borderId="0" xfId="0" applyFont="1" applyFill="1" applyAlignment="1" applyProtection="1">
      <alignment horizontal="left" vertical="center"/>
      <protection locked="0"/>
    </xf>
    <xf numFmtId="14" fontId="2" fillId="2" borderId="0" xfId="0" applyNumberFormat="1" applyFont="1" applyFill="1" applyAlignment="1" applyProtection="1">
      <alignment vertical="center"/>
      <protection locked="0" hidden="1"/>
    </xf>
    <xf numFmtId="0" fontId="4" fillId="2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vertical="center"/>
      <protection locked="0" hidden="1"/>
    </xf>
    <xf numFmtId="0" fontId="2" fillId="3" borderId="0" xfId="0" applyFont="1" applyFill="1" applyAlignment="1" applyProtection="1">
      <alignment vertical="center"/>
      <protection locked="0"/>
    </xf>
    <xf numFmtId="14" fontId="2" fillId="3" borderId="0" xfId="0" applyNumberFormat="1" applyFont="1" applyFill="1" applyAlignment="1" applyProtection="1">
      <alignment vertical="center"/>
      <protection locked="0" hidden="1"/>
    </xf>
    <xf numFmtId="0" fontId="1" fillId="3" borderId="0" xfId="0" applyFont="1" applyFill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vertical="center"/>
      <protection locked="0" hidden="1"/>
    </xf>
    <xf numFmtId="0" fontId="2" fillId="4" borderId="0" xfId="0" applyFont="1" applyFill="1" applyAlignment="1" applyProtection="1">
      <alignment vertical="center"/>
      <protection locked="0"/>
    </xf>
    <xf numFmtId="14" fontId="2" fillId="4" borderId="0" xfId="0" applyNumberFormat="1" applyFont="1" applyFill="1" applyAlignment="1" applyProtection="1">
      <alignment vertical="center"/>
      <protection locked="0" hidden="1"/>
    </xf>
    <xf numFmtId="0" fontId="1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0" fontId="4" fillId="5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vertical="center"/>
      <protection locked="0"/>
    </xf>
    <xf numFmtId="0" fontId="1" fillId="3" borderId="0" xfId="0" applyFont="1" applyFill="1" applyAlignment="1" applyProtection="1">
      <alignment vertical="center"/>
    </xf>
    <xf numFmtId="0" fontId="2" fillId="3" borderId="0" xfId="0" applyFont="1" applyFill="1" applyAlignment="1" applyProtection="1">
      <alignment vertical="center"/>
      <protection hidden="1"/>
    </xf>
    <xf numFmtId="0" fontId="2" fillId="3" borderId="0" xfId="0" applyFont="1" applyFill="1" applyAlignment="1" applyProtection="1">
      <alignment vertical="center"/>
    </xf>
    <xf numFmtId="0" fontId="7" fillId="2" borderId="0" xfId="0" applyFont="1" applyFill="1" applyAlignment="1" applyProtection="1">
      <alignment horizontal="left" vertical="center"/>
    </xf>
    <xf numFmtId="0" fontId="8" fillId="3" borderId="0" xfId="0" applyFont="1" applyFill="1" applyAlignment="1" applyProtection="1">
      <alignment vertical="center"/>
    </xf>
    <xf numFmtId="0" fontId="1" fillId="4" borderId="0" xfId="0" applyFont="1" applyFill="1" applyAlignment="1" applyProtection="1">
      <alignment vertical="center"/>
    </xf>
    <xf numFmtId="0" fontId="2" fillId="4" borderId="0" xfId="0" applyFont="1" applyFill="1" applyAlignment="1" applyProtection="1">
      <alignment vertical="center"/>
      <protection hidden="1"/>
    </xf>
    <xf numFmtId="0" fontId="2" fillId="4" borderId="0" xfId="0" applyFont="1" applyFill="1" applyAlignment="1" applyProtection="1">
      <alignment vertical="center"/>
    </xf>
    <xf numFmtId="0" fontId="9" fillId="3" borderId="0" xfId="0" applyFont="1" applyFill="1" applyAlignment="1" applyProtection="1">
      <alignment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2" fillId="6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vertical="center"/>
      <protection locked="0" hidden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3" borderId="0" xfId="0" applyFont="1" applyFill="1" applyAlignment="1" applyProtection="1" quotePrefix="1">
      <alignment vertical="center"/>
      <protection locked="0" hidden="1"/>
    </xf>
    <xf numFmtId="0" fontId="2" fillId="4" borderId="0" xfId="0" applyFont="1" applyFill="1" applyAlignment="1" applyProtection="1" quotePrefix="1">
      <alignment vertical="center"/>
      <protection locked="0"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6"/>
  <sheetViews>
    <sheetView tabSelected="1" workbookViewId="0">
      <selection activeCell="E23" sqref="$A23:$XFD23"/>
    </sheetView>
  </sheetViews>
  <sheetFormatPr defaultColWidth="8.72727272727273" defaultRowHeight="14"/>
  <cols>
    <col min="2" max="2" width="21" customWidth="1"/>
    <col min="3" max="3" width="9.18181818181818"/>
    <col min="5" max="5" width="24.9090909090909" customWidth="1"/>
    <col min="6" max="9" width="33.8181818181818" customWidth="1"/>
    <col min="11" max="11" width="17.6363636363636" customWidth="1"/>
  </cols>
  <sheetData>
    <row r="1" s="1" customFormat="1" ht="14.5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22" t="s">
        <v>9</v>
      </c>
      <c r="K1" s="22"/>
      <c r="L1" s="22" t="s">
        <v>10</v>
      </c>
      <c r="M1" s="22"/>
      <c r="N1" s="5" t="s">
        <v>11</v>
      </c>
      <c r="O1" s="5"/>
      <c r="P1" s="5" t="s">
        <v>12</v>
      </c>
      <c r="Q1" s="5"/>
    </row>
    <row r="2" s="1" customFormat="1" ht="14.5" customHeight="1" spans="1:17">
      <c r="A2" s="5"/>
      <c r="B2" s="5"/>
      <c r="C2" s="5"/>
      <c r="D2" s="5"/>
      <c r="E2" s="6"/>
      <c r="F2" s="6"/>
      <c r="G2" s="6"/>
      <c r="H2" s="6"/>
      <c r="I2" s="6"/>
      <c r="J2" s="22" t="s">
        <v>13</v>
      </c>
      <c r="K2" s="22" t="s">
        <v>14</v>
      </c>
      <c r="L2" s="22" t="s">
        <v>13</v>
      </c>
      <c r="M2" s="22" t="s">
        <v>14</v>
      </c>
      <c r="N2" s="5" t="s">
        <v>13</v>
      </c>
      <c r="O2" s="5" t="s">
        <v>14</v>
      </c>
      <c r="P2" s="5" t="s">
        <v>13</v>
      </c>
      <c r="Q2" s="5" t="s">
        <v>14</v>
      </c>
    </row>
    <row r="3" s="2" customFormat="1" ht="14.5" customHeight="1" spans="1:21">
      <c r="A3" s="7" t="s">
        <v>15</v>
      </c>
      <c r="B3" s="8"/>
      <c r="C3" s="9"/>
      <c r="D3" s="10"/>
      <c r="E3" s="11"/>
      <c r="F3" s="11"/>
      <c r="G3" s="11"/>
      <c r="H3" s="11"/>
      <c r="I3" s="11"/>
      <c r="J3" s="23"/>
      <c r="K3" s="24"/>
      <c r="L3" s="25"/>
      <c r="M3" s="25"/>
      <c r="N3" s="8"/>
      <c r="O3" s="26"/>
      <c r="P3" s="8"/>
      <c r="Q3" s="26"/>
      <c r="R3" s="8"/>
      <c r="S3" s="38"/>
      <c r="T3" s="8"/>
      <c r="U3" s="38"/>
    </row>
    <row r="4" s="3" customFormat="1" ht="14.5" customHeight="1" spans="1:42">
      <c r="A4" s="41" t="s">
        <v>16</v>
      </c>
      <c r="B4" s="13" t="s">
        <v>17</v>
      </c>
      <c r="C4" s="14">
        <f ca="1" t="shared" ref="C4:C7" si="0">IF(B4="","",IF(C4&lt;&gt;"",C4,NOW()))</f>
        <v>0</v>
      </c>
      <c r="D4" s="15" t="s">
        <v>18</v>
      </c>
      <c r="E4" s="16">
        <v>1</v>
      </c>
      <c r="F4" s="13" t="s">
        <v>19</v>
      </c>
      <c r="G4" s="15" t="s">
        <v>20</v>
      </c>
      <c r="H4" s="15" t="s">
        <v>21</v>
      </c>
      <c r="I4" s="15" t="s">
        <v>22</v>
      </c>
      <c r="J4" s="27" t="s">
        <v>23</v>
      </c>
      <c r="K4" s="28">
        <f t="shared" ref="K4:K7" si="1">LEN(J4)</f>
        <v>3</v>
      </c>
      <c r="L4" s="29" t="s">
        <v>19</v>
      </c>
      <c r="M4" s="29">
        <f t="shared" ref="M4:M7" si="2">LEN(L4)</f>
        <v>12</v>
      </c>
      <c r="N4" s="13"/>
      <c r="O4" s="13"/>
      <c r="P4" s="13"/>
      <c r="Q4" s="13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="3" customFormat="1" ht="14.5" customHeight="1" spans="1:42">
      <c r="A5" s="41" t="s">
        <v>16</v>
      </c>
      <c r="B5" s="13" t="s">
        <v>17</v>
      </c>
      <c r="C5" s="14">
        <f ca="1" t="shared" si="0"/>
        <v>0</v>
      </c>
      <c r="D5" s="15" t="s">
        <v>18</v>
      </c>
      <c r="E5" s="16">
        <v>1</v>
      </c>
      <c r="F5" s="13" t="s">
        <v>19</v>
      </c>
      <c r="G5" s="15" t="s">
        <v>24</v>
      </c>
      <c r="H5" s="15" t="s">
        <v>25</v>
      </c>
      <c r="I5" s="15" t="s">
        <v>26</v>
      </c>
      <c r="J5" s="27" t="s">
        <v>23</v>
      </c>
      <c r="K5" s="28">
        <f t="shared" si="1"/>
        <v>3</v>
      </c>
      <c r="L5" s="29" t="s">
        <v>19</v>
      </c>
      <c r="M5" s="29">
        <f t="shared" si="2"/>
        <v>12</v>
      </c>
      <c r="N5" s="13"/>
      <c r="O5" s="13"/>
      <c r="P5" s="13"/>
      <c r="Q5" s="13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</row>
    <row r="6" s="3" customFormat="1" ht="14.5" customHeight="1" spans="1:42">
      <c r="A6" s="41" t="s">
        <v>16</v>
      </c>
      <c r="B6" s="13" t="s">
        <v>17</v>
      </c>
      <c r="C6" s="14">
        <f ca="1" t="shared" si="0"/>
        <v>0</v>
      </c>
      <c r="D6" s="15" t="s">
        <v>18</v>
      </c>
      <c r="E6" s="16">
        <v>1</v>
      </c>
      <c r="F6" s="13" t="s">
        <v>19</v>
      </c>
      <c r="G6" s="15" t="s">
        <v>27</v>
      </c>
      <c r="H6" s="15" t="s">
        <v>28</v>
      </c>
      <c r="I6" s="15" t="s">
        <v>29</v>
      </c>
      <c r="J6" s="27" t="s">
        <v>23</v>
      </c>
      <c r="K6" s="28">
        <f t="shared" si="1"/>
        <v>3</v>
      </c>
      <c r="L6" s="29" t="s">
        <v>19</v>
      </c>
      <c r="M6" s="29">
        <f t="shared" si="2"/>
        <v>12</v>
      </c>
      <c r="N6" s="13"/>
      <c r="O6" s="13"/>
      <c r="P6" s="13"/>
      <c r="Q6" s="13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</row>
    <row r="7" s="3" customFormat="1" ht="14.5" customHeight="1" spans="1:42">
      <c r="A7" s="41" t="s">
        <v>16</v>
      </c>
      <c r="B7" s="13" t="s">
        <v>17</v>
      </c>
      <c r="C7" s="14">
        <f ca="1" t="shared" si="0"/>
        <v>0</v>
      </c>
      <c r="D7" s="15" t="s">
        <v>18</v>
      </c>
      <c r="E7" s="16">
        <v>1</v>
      </c>
      <c r="F7" s="13" t="s">
        <v>19</v>
      </c>
      <c r="G7" s="15" t="s">
        <v>30</v>
      </c>
      <c r="H7" s="15" t="s">
        <v>31</v>
      </c>
      <c r="I7" s="15" t="s">
        <v>32</v>
      </c>
      <c r="J7" s="27" t="s">
        <v>23</v>
      </c>
      <c r="K7" s="28">
        <f t="shared" si="1"/>
        <v>3</v>
      </c>
      <c r="L7" s="29" t="s">
        <v>19</v>
      </c>
      <c r="M7" s="29">
        <f t="shared" si="2"/>
        <v>12</v>
      </c>
      <c r="N7" s="13"/>
      <c r="O7" s="13"/>
      <c r="P7" s="13"/>
      <c r="Q7" s="13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</row>
    <row r="8" s="3" customFormat="1" ht="14.5" customHeight="1" spans="1:42">
      <c r="A8" s="41" t="s">
        <v>16</v>
      </c>
      <c r="B8" s="13" t="s">
        <v>33</v>
      </c>
      <c r="C8" s="14">
        <f ca="1" t="shared" ref="C8:C11" si="3">IF(B8="","",IF(C8&lt;&gt;"",C8,NOW()))</f>
        <v>0</v>
      </c>
      <c r="D8" s="15" t="s">
        <v>18</v>
      </c>
      <c r="E8" s="16" t="s">
        <v>34</v>
      </c>
      <c r="F8" s="13" t="s">
        <v>35</v>
      </c>
      <c r="G8" s="15" t="s">
        <v>36</v>
      </c>
      <c r="H8" s="15" t="s">
        <v>37</v>
      </c>
      <c r="I8" s="15" t="s">
        <v>38</v>
      </c>
      <c r="J8" s="27" t="s">
        <v>39</v>
      </c>
      <c r="K8" s="28">
        <f t="shared" ref="K8:K11" si="4">LEN(J8)</f>
        <v>3</v>
      </c>
      <c r="L8" s="29" t="s">
        <v>35</v>
      </c>
      <c r="M8" s="29">
        <f t="shared" ref="M8:M11" si="5">LEN(L8)</f>
        <v>7</v>
      </c>
      <c r="N8" s="13"/>
      <c r="O8" s="13"/>
      <c r="P8" s="13"/>
      <c r="Q8" s="13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</row>
    <row r="9" s="3" customFormat="1" ht="14.5" customHeight="1" spans="1:42">
      <c r="A9" s="41" t="s">
        <v>16</v>
      </c>
      <c r="B9" s="13" t="s">
        <v>40</v>
      </c>
      <c r="C9" s="14">
        <f ca="1" t="shared" si="3"/>
        <v>0</v>
      </c>
      <c r="D9" s="15" t="s">
        <v>18</v>
      </c>
      <c r="E9" s="16" t="s">
        <v>34</v>
      </c>
      <c r="F9" s="13" t="s">
        <v>35</v>
      </c>
      <c r="G9" s="15" t="s">
        <v>41</v>
      </c>
      <c r="H9" s="15" t="s">
        <v>42</v>
      </c>
      <c r="I9" s="15" t="s">
        <v>43</v>
      </c>
      <c r="J9" s="27" t="s">
        <v>39</v>
      </c>
      <c r="K9" s="28">
        <f t="shared" si="4"/>
        <v>3</v>
      </c>
      <c r="L9" s="29" t="s">
        <v>35</v>
      </c>
      <c r="M9" s="29">
        <f t="shared" si="5"/>
        <v>7</v>
      </c>
      <c r="N9" s="13"/>
      <c r="O9" s="13"/>
      <c r="P9" s="13"/>
      <c r="Q9" s="13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</row>
    <row r="10" s="3" customFormat="1" ht="14.5" customHeight="1" spans="1:42">
      <c r="A10" s="41" t="s">
        <v>16</v>
      </c>
      <c r="B10" s="13" t="s">
        <v>44</v>
      </c>
      <c r="C10" s="14">
        <f ca="1" t="shared" si="3"/>
        <v>0</v>
      </c>
      <c r="D10" s="15" t="s">
        <v>18</v>
      </c>
      <c r="E10" s="16" t="s">
        <v>34</v>
      </c>
      <c r="F10" s="13" t="s">
        <v>35</v>
      </c>
      <c r="G10" s="15" t="s">
        <v>45</v>
      </c>
      <c r="H10" s="15" t="s">
        <v>46</v>
      </c>
      <c r="I10" s="15" t="s">
        <v>47</v>
      </c>
      <c r="J10" s="27" t="s">
        <v>39</v>
      </c>
      <c r="K10" s="28">
        <f t="shared" si="4"/>
        <v>3</v>
      </c>
      <c r="L10" s="29" t="s">
        <v>35</v>
      </c>
      <c r="M10" s="29">
        <f t="shared" si="5"/>
        <v>7</v>
      </c>
      <c r="N10" s="13"/>
      <c r="O10" s="13"/>
      <c r="P10" s="13"/>
      <c r="Q10" s="13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</row>
    <row r="11" s="3" customFormat="1" ht="14.5" customHeight="1" spans="1:42">
      <c r="A11" s="41" t="s">
        <v>16</v>
      </c>
      <c r="B11" s="13" t="s">
        <v>48</v>
      </c>
      <c r="C11" s="14">
        <f ca="1" t="shared" si="3"/>
        <v>0</v>
      </c>
      <c r="D11" s="15" t="s">
        <v>18</v>
      </c>
      <c r="E11" s="16" t="s">
        <v>34</v>
      </c>
      <c r="F11" s="13" t="s">
        <v>35</v>
      </c>
      <c r="G11" s="15" t="s">
        <v>49</v>
      </c>
      <c r="H11" s="15" t="s">
        <v>50</v>
      </c>
      <c r="I11" s="15" t="s">
        <v>51</v>
      </c>
      <c r="J11" s="27" t="s">
        <v>39</v>
      </c>
      <c r="K11" s="28">
        <f t="shared" si="4"/>
        <v>3</v>
      </c>
      <c r="L11" s="29" t="s">
        <v>35</v>
      </c>
      <c r="M11" s="29">
        <f t="shared" si="5"/>
        <v>7</v>
      </c>
      <c r="N11" s="13"/>
      <c r="O11" s="13"/>
      <c r="P11" s="13"/>
      <c r="Q11" s="13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</row>
    <row r="12" s="3" customFormat="1" ht="14.5" customHeight="1" spans="1:42">
      <c r="A12" s="41" t="s">
        <v>16</v>
      </c>
      <c r="B12" s="13" t="s">
        <v>52</v>
      </c>
      <c r="C12" s="14">
        <f ca="1" t="shared" ref="C12:C22" si="6">IF(B12="","",IF(C12&lt;&gt;"",C12,NOW()))</f>
        <v>0</v>
      </c>
      <c r="D12" s="15" t="s">
        <v>18</v>
      </c>
      <c r="E12" s="16" t="s">
        <v>53</v>
      </c>
      <c r="F12" s="13" t="s">
        <v>54</v>
      </c>
      <c r="G12" s="15" t="s">
        <v>55</v>
      </c>
      <c r="H12" s="15" t="s">
        <v>56</v>
      </c>
      <c r="I12" s="15" t="s">
        <v>57</v>
      </c>
      <c r="J12" s="27" t="s">
        <v>58</v>
      </c>
      <c r="K12" s="28">
        <f t="shared" ref="K12:K22" si="7">LEN(J12)</f>
        <v>3</v>
      </c>
      <c r="L12" s="29" t="s">
        <v>59</v>
      </c>
      <c r="M12" s="29">
        <f t="shared" ref="M12:M22" si="8">LEN(L12)</f>
        <v>19</v>
      </c>
      <c r="N12" s="13"/>
      <c r="O12" s="13"/>
      <c r="P12" s="13"/>
      <c r="Q12" s="13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</row>
    <row r="13" s="3" customFormat="1" ht="14.5" customHeight="1" spans="1:42">
      <c r="A13" s="41" t="s">
        <v>16</v>
      </c>
      <c r="B13" s="13" t="s">
        <v>60</v>
      </c>
      <c r="C13" s="14">
        <f ca="1" t="shared" si="6"/>
        <v>0</v>
      </c>
      <c r="D13" s="15" t="s">
        <v>18</v>
      </c>
      <c r="E13" s="16" t="s">
        <v>53</v>
      </c>
      <c r="F13" s="13" t="s">
        <v>61</v>
      </c>
      <c r="G13" s="15" t="s">
        <v>62</v>
      </c>
      <c r="H13" s="15" t="s">
        <v>63</v>
      </c>
      <c r="I13" s="15" t="s">
        <v>64</v>
      </c>
      <c r="J13" s="27" t="s">
        <v>65</v>
      </c>
      <c r="K13" s="28">
        <f t="shared" si="7"/>
        <v>3</v>
      </c>
      <c r="L13" s="29" t="s">
        <v>61</v>
      </c>
      <c r="M13" s="29">
        <f t="shared" si="8"/>
        <v>8</v>
      </c>
      <c r="N13" s="13"/>
      <c r="O13" s="13"/>
      <c r="P13" s="13"/>
      <c r="Q13" s="13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</row>
    <row r="14" s="3" customFormat="1" ht="14.5" customHeight="1" spans="1:42">
      <c r="A14" s="41" t="s">
        <v>16</v>
      </c>
      <c r="B14" s="13" t="s">
        <v>66</v>
      </c>
      <c r="C14" s="14">
        <f ca="1" t="shared" si="6"/>
        <v>0</v>
      </c>
      <c r="D14" s="15" t="s">
        <v>18</v>
      </c>
      <c r="E14" s="16" t="s">
        <v>53</v>
      </c>
      <c r="F14" s="13" t="s">
        <v>67</v>
      </c>
      <c r="G14" s="15" t="s">
        <v>68</v>
      </c>
      <c r="H14" s="15" t="s">
        <v>69</v>
      </c>
      <c r="I14" s="15" t="s">
        <v>70</v>
      </c>
      <c r="J14" s="27" t="s">
        <v>71</v>
      </c>
      <c r="K14" s="28">
        <f t="shared" si="7"/>
        <v>3</v>
      </c>
      <c r="L14" s="29" t="s">
        <v>67</v>
      </c>
      <c r="M14" s="29">
        <f t="shared" si="8"/>
        <v>5</v>
      </c>
      <c r="N14" s="13"/>
      <c r="O14" s="13"/>
      <c r="P14" s="13"/>
      <c r="Q14" s="13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</row>
    <row r="15" s="3" customFormat="1" ht="14.5" customHeight="1" spans="1:42">
      <c r="A15" s="41" t="s">
        <v>16</v>
      </c>
      <c r="B15" s="13" t="s">
        <v>72</v>
      </c>
      <c r="C15" s="14">
        <f ca="1" t="shared" si="6"/>
        <v>0</v>
      </c>
      <c r="D15" s="15" t="s">
        <v>18</v>
      </c>
      <c r="E15" s="16" t="s">
        <v>53</v>
      </c>
      <c r="F15" s="13" t="s">
        <v>73</v>
      </c>
      <c r="G15" s="15" t="s">
        <v>74</v>
      </c>
      <c r="H15" s="15" t="s">
        <v>75</v>
      </c>
      <c r="I15" s="15" t="s">
        <v>76</v>
      </c>
      <c r="J15" s="27" t="s">
        <v>77</v>
      </c>
      <c r="K15" s="28">
        <f t="shared" si="7"/>
        <v>3</v>
      </c>
      <c r="L15" s="29" t="s">
        <v>73</v>
      </c>
      <c r="M15" s="29">
        <f t="shared" si="8"/>
        <v>9</v>
      </c>
      <c r="N15" s="13"/>
      <c r="O15" s="13"/>
      <c r="P15" s="13"/>
      <c r="Q15" s="13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</row>
    <row r="16" s="3" customFormat="1" ht="14.5" customHeight="1" spans="1:42">
      <c r="A16" s="41" t="s">
        <v>16</v>
      </c>
      <c r="B16" s="13" t="s">
        <v>78</v>
      </c>
      <c r="C16" s="14">
        <f ca="1" t="shared" si="6"/>
        <v>0</v>
      </c>
      <c r="D16" s="15" t="s">
        <v>18</v>
      </c>
      <c r="E16" s="16" t="s">
        <v>53</v>
      </c>
      <c r="F16" s="13" t="s">
        <v>79</v>
      </c>
      <c r="G16" s="15" t="s">
        <v>80</v>
      </c>
      <c r="H16" s="15" t="s">
        <v>81</v>
      </c>
      <c r="I16" s="15" t="s">
        <v>82</v>
      </c>
      <c r="J16" s="27" t="s">
        <v>83</v>
      </c>
      <c r="K16" s="28">
        <f t="shared" si="7"/>
        <v>5</v>
      </c>
      <c r="L16" s="29" t="s">
        <v>84</v>
      </c>
      <c r="M16" s="29">
        <f t="shared" si="8"/>
        <v>19</v>
      </c>
      <c r="N16" s="13"/>
      <c r="O16" s="13"/>
      <c r="P16" s="13"/>
      <c r="Q16" s="13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</row>
    <row r="17" s="3" customFormat="1" ht="14.5" customHeight="1" spans="1:42">
      <c r="A17" s="41" t="s">
        <v>16</v>
      </c>
      <c r="B17" s="13" t="s">
        <v>85</v>
      </c>
      <c r="C17" s="14">
        <f ca="1" t="shared" si="6"/>
        <v>0</v>
      </c>
      <c r="D17" s="15" t="s">
        <v>18</v>
      </c>
      <c r="E17" s="16" t="s">
        <v>53</v>
      </c>
      <c r="F17" s="13" t="s">
        <v>86</v>
      </c>
      <c r="G17" s="15" t="s">
        <v>87</v>
      </c>
      <c r="H17" s="15" t="s">
        <v>88</v>
      </c>
      <c r="I17" s="15" t="s">
        <v>89</v>
      </c>
      <c r="J17" s="27" t="s">
        <v>90</v>
      </c>
      <c r="K17" s="28">
        <f t="shared" si="7"/>
        <v>3</v>
      </c>
      <c r="L17" s="29" t="s">
        <v>86</v>
      </c>
      <c r="M17" s="29">
        <f t="shared" si="8"/>
        <v>5</v>
      </c>
      <c r="N17" s="13"/>
      <c r="O17" s="13"/>
      <c r="P17" s="13"/>
      <c r="Q17" s="13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</row>
    <row r="18" s="3" customFormat="1" ht="14.5" customHeight="1" spans="1:42">
      <c r="A18" s="41" t="s">
        <v>16</v>
      </c>
      <c r="B18" s="13" t="s">
        <v>91</v>
      </c>
      <c r="C18" s="14">
        <f ca="1" t="shared" si="6"/>
        <v>0</v>
      </c>
      <c r="D18" s="15" t="s">
        <v>18</v>
      </c>
      <c r="E18" s="16" t="s">
        <v>53</v>
      </c>
      <c r="F18" s="13" t="s">
        <v>92</v>
      </c>
      <c r="G18" s="15" t="s">
        <v>93</v>
      </c>
      <c r="H18" s="15" t="s">
        <v>94</v>
      </c>
      <c r="I18" s="15" t="s">
        <v>95</v>
      </c>
      <c r="J18" s="27" t="s">
        <v>96</v>
      </c>
      <c r="K18" s="28">
        <f t="shared" si="7"/>
        <v>4</v>
      </c>
      <c r="L18" s="29" t="s">
        <v>92</v>
      </c>
      <c r="M18" s="29">
        <f t="shared" si="8"/>
        <v>6</v>
      </c>
      <c r="N18" s="13"/>
      <c r="O18" s="13"/>
      <c r="P18" s="13"/>
      <c r="Q18" s="13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</row>
    <row r="19" s="3" customFormat="1" ht="14.5" customHeight="1" spans="1:42">
      <c r="A19" s="41" t="s">
        <v>16</v>
      </c>
      <c r="B19" s="13" t="s">
        <v>97</v>
      </c>
      <c r="C19" s="14">
        <f ca="1" t="shared" si="6"/>
        <v>0</v>
      </c>
      <c r="D19" s="15" t="s">
        <v>18</v>
      </c>
      <c r="E19" s="16" t="s">
        <v>53</v>
      </c>
      <c r="F19" s="13" t="s">
        <v>98</v>
      </c>
      <c r="G19" s="15" t="s">
        <v>99</v>
      </c>
      <c r="H19" s="15" t="s">
        <v>100</v>
      </c>
      <c r="I19" s="15" t="s">
        <v>101</v>
      </c>
      <c r="J19" s="27" t="s">
        <v>102</v>
      </c>
      <c r="K19" s="28">
        <f t="shared" si="7"/>
        <v>5</v>
      </c>
      <c r="L19" s="29" t="s">
        <v>103</v>
      </c>
      <c r="M19" s="29">
        <f t="shared" si="8"/>
        <v>13</v>
      </c>
      <c r="N19" s="13"/>
      <c r="O19" s="13"/>
      <c r="P19" s="13"/>
      <c r="Q19" s="13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</row>
    <row r="20" s="3" customFormat="1" ht="14.5" customHeight="1" spans="1:42">
      <c r="A20" s="41" t="s">
        <v>16</v>
      </c>
      <c r="B20" s="13" t="s">
        <v>104</v>
      </c>
      <c r="C20" s="14">
        <f ca="1" t="shared" si="6"/>
        <v>0</v>
      </c>
      <c r="D20" s="15" t="s">
        <v>18</v>
      </c>
      <c r="E20" s="16" t="s">
        <v>53</v>
      </c>
      <c r="F20" s="13" t="s">
        <v>105</v>
      </c>
      <c r="G20" s="15" t="s">
        <v>106</v>
      </c>
      <c r="H20" s="15" t="s">
        <v>107</v>
      </c>
      <c r="I20" s="15" t="s">
        <v>108</v>
      </c>
      <c r="J20" s="27" t="s">
        <v>109</v>
      </c>
      <c r="K20" s="28">
        <f t="shared" si="7"/>
        <v>4</v>
      </c>
      <c r="L20" s="29" t="s">
        <v>110</v>
      </c>
      <c r="M20" s="29">
        <f t="shared" si="8"/>
        <v>17</v>
      </c>
      <c r="N20" s="13"/>
      <c r="O20" s="13"/>
      <c r="P20" s="13"/>
      <c r="Q20" s="13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</row>
    <row r="21" s="3" customFormat="1" ht="14.5" customHeight="1" spans="1:42">
      <c r="A21" s="41" t="s">
        <v>16</v>
      </c>
      <c r="B21" s="13" t="s">
        <v>111</v>
      </c>
      <c r="C21" s="14">
        <f ca="1" t="shared" si="6"/>
        <v>0</v>
      </c>
      <c r="D21" s="15" t="s">
        <v>18</v>
      </c>
      <c r="E21" s="16" t="s">
        <v>53</v>
      </c>
      <c r="F21" s="13" t="s">
        <v>112</v>
      </c>
      <c r="G21" s="15" t="s">
        <v>113</v>
      </c>
      <c r="H21" s="15" t="s">
        <v>114</v>
      </c>
      <c r="I21" s="15" t="s">
        <v>115</v>
      </c>
      <c r="J21" s="27" t="s">
        <v>116</v>
      </c>
      <c r="K21" s="28">
        <f t="shared" si="7"/>
        <v>5</v>
      </c>
      <c r="L21" s="29" t="s">
        <v>117</v>
      </c>
      <c r="M21" s="29">
        <f t="shared" si="8"/>
        <v>10</v>
      </c>
      <c r="N21" s="13"/>
      <c r="O21" s="13"/>
      <c r="P21" s="13"/>
      <c r="Q21" s="13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</row>
    <row r="22" s="3" customFormat="1" ht="14.5" customHeight="1" spans="1:42">
      <c r="A22" s="41" t="s">
        <v>16</v>
      </c>
      <c r="B22" s="13" t="s">
        <v>118</v>
      </c>
      <c r="C22" s="14">
        <f ca="1" t="shared" si="6"/>
        <v>0</v>
      </c>
      <c r="D22" s="15" t="s">
        <v>18</v>
      </c>
      <c r="E22" s="16" t="s">
        <v>53</v>
      </c>
      <c r="F22" s="13" t="s">
        <v>119</v>
      </c>
      <c r="G22" s="15" t="s">
        <v>120</v>
      </c>
      <c r="H22" s="15" t="s">
        <v>121</v>
      </c>
      <c r="I22" s="15" t="s">
        <v>122</v>
      </c>
      <c r="J22" s="27" t="s">
        <v>123</v>
      </c>
      <c r="K22" s="28">
        <f t="shared" si="7"/>
        <v>7</v>
      </c>
      <c r="L22" s="29" t="s">
        <v>124</v>
      </c>
      <c r="M22" s="29">
        <f t="shared" si="8"/>
        <v>23</v>
      </c>
      <c r="N22" s="13"/>
      <c r="O22" s="13"/>
      <c r="P22" s="13"/>
      <c r="Q22" s="13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</row>
    <row r="23" s="2" customFormat="1" ht="14.5" customHeight="1" spans="1:21">
      <c r="A23" s="7"/>
      <c r="B23" s="8"/>
      <c r="C23" s="9"/>
      <c r="D23" s="10"/>
      <c r="E23" s="11"/>
      <c r="F23" s="11"/>
      <c r="G23" s="15"/>
      <c r="H23" s="15"/>
      <c r="I23" s="15"/>
      <c r="J23" s="23"/>
      <c r="K23" s="24"/>
      <c r="L23" s="30"/>
      <c r="M23" s="25"/>
      <c r="N23" s="8"/>
      <c r="O23" s="26"/>
      <c r="P23" s="8"/>
      <c r="Q23" s="26"/>
      <c r="R23" s="8"/>
      <c r="S23" s="38"/>
      <c r="T23" s="8"/>
      <c r="U23" s="38"/>
    </row>
    <row r="24" s="3" customFormat="1" ht="14.5" customHeight="1" spans="1:42">
      <c r="A24" s="41" t="s">
        <v>16</v>
      </c>
      <c r="B24" s="13" t="s">
        <v>125</v>
      </c>
      <c r="C24" s="14">
        <f ca="1" t="shared" ref="C24:C36" si="9">IF(B24="","",IF(C24&lt;&gt;"",C24,NOW()))</f>
        <v>0</v>
      </c>
      <c r="D24" s="15" t="s">
        <v>18</v>
      </c>
      <c r="E24" s="16">
        <v>1</v>
      </c>
      <c r="F24" s="13" t="s">
        <v>126</v>
      </c>
      <c r="G24" s="15" t="s">
        <v>127</v>
      </c>
      <c r="H24" s="15" t="s">
        <v>128</v>
      </c>
      <c r="I24" s="15" t="s">
        <v>129</v>
      </c>
      <c r="J24" s="27" t="s">
        <v>130</v>
      </c>
      <c r="K24" s="28">
        <f t="shared" ref="K24:K36" si="10">LEN(J24)</f>
        <v>3</v>
      </c>
      <c r="L24" s="29" t="s">
        <v>131</v>
      </c>
      <c r="M24" s="29">
        <f t="shared" ref="M24:M36" si="11">LEN(L24)</f>
        <v>5</v>
      </c>
      <c r="N24" s="13"/>
      <c r="O24" s="13"/>
      <c r="P24" s="13"/>
      <c r="Q24" s="13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</row>
    <row r="25" s="3" customFormat="1" ht="14.5" customHeight="1" spans="1:42">
      <c r="A25" s="41" t="s">
        <v>16</v>
      </c>
      <c r="B25" s="13" t="s">
        <v>132</v>
      </c>
      <c r="C25" s="14">
        <f ca="1" t="shared" si="9"/>
        <v>0</v>
      </c>
      <c r="D25" s="15" t="s">
        <v>18</v>
      </c>
      <c r="E25" s="16" t="s">
        <v>133</v>
      </c>
      <c r="F25" s="13" t="s">
        <v>134</v>
      </c>
      <c r="G25" s="15" t="s">
        <v>135</v>
      </c>
      <c r="H25" s="15" t="s">
        <v>136</v>
      </c>
      <c r="I25" s="15" t="s">
        <v>137</v>
      </c>
      <c r="J25" s="27" t="s">
        <v>138</v>
      </c>
      <c r="K25" s="28">
        <f t="shared" si="10"/>
        <v>3</v>
      </c>
      <c r="L25" s="29" t="s">
        <v>139</v>
      </c>
      <c r="M25" s="29">
        <f t="shared" si="11"/>
        <v>6</v>
      </c>
      <c r="N25" s="13"/>
      <c r="O25" s="13"/>
      <c r="P25" s="13"/>
      <c r="Q25" s="13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</row>
    <row r="26" s="3" customFormat="1" ht="14.5" customHeight="1" spans="1:42">
      <c r="A26" s="41" t="s">
        <v>16</v>
      </c>
      <c r="B26" s="13" t="s">
        <v>140</v>
      </c>
      <c r="C26" s="14">
        <f ca="1" t="shared" si="9"/>
        <v>0</v>
      </c>
      <c r="D26" s="15" t="s">
        <v>18</v>
      </c>
      <c r="E26" s="16" t="s">
        <v>141</v>
      </c>
      <c r="F26" s="13" t="s">
        <v>142</v>
      </c>
      <c r="G26" s="15" t="s">
        <v>143</v>
      </c>
      <c r="H26" s="15" t="s">
        <v>144</v>
      </c>
      <c r="I26" s="15" t="s">
        <v>145</v>
      </c>
      <c r="J26" s="27" t="s">
        <v>146</v>
      </c>
      <c r="K26" s="28">
        <f t="shared" si="10"/>
        <v>4</v>
      </c>
      <c r="L26" s="29" t="s">
        <v>147</v>
      </c>
      <c r="M26" s="29">
        <f t="shared" si="11"/>
        <v>14</v>
      </c>
      <c r="N26" s="13"/>
      <c r="O26" s="13"/>
      <c r="P26" s="13"/>
      <c r="Q26" s="13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</row>
    <row r="27" s="3" customFormat="1" ht="14.5" customHeight="1" spans="1:42">
      <c r="A27" s="41" t="s">
        <v>16</v>
      </c>
      <c r="B27" s="13" t="s">
        <v>148</v>
      </c>
      <c r="C27" s="14">
        <f ca="1" t="shared" si="9"/>
        <v>0</v>
      </c>
      <c r="D27" s="15" t="s">
        <v>18</v>
      </c>
      <c r="E27" s="16" t="s">
        <v>149</v>
      </c>
      <c r="F27" s="13" t="s">
        <v>150</v>
      </c>
      <c r="G27" s="15" t="s">
        <v>151</v>
      </c>
      <c r="H27" s="15" t="s">
        <v>152</v>
      </c>
      <c r="I27" s="15" t="s">
        <v>153</v>
      </c>
      <c r="J27" s="27" t="s">
        <v>154</v>
      </c>
      <c r="K27" s="28">
        <f t="shared" si="10"/>
        <v>3</v>
      </c>
      <c r="L27" s="29" t="s">
        <v>155</v>
      </c>
      <c r="M27" s="29">
        <f t="shared" si="11"/>
        <v>12</v>
      </c>
      <c r="N27" s="13"/>
      <c r="O27" s="13"/>
      <c r="P27" s="13"/>
      <c r="Q27" s="13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</row>
    <row r="28" s="3" customFormat="1" ht="14.5" customHeight="1" spans="1:42">
      <c r="A28" s="41" t="s">
        <v>16</v>
      </c>
      <c r="B28" s="13" t="s">
        <v>156</v>
      </c>
      <c r="C28" s="14">
        <f ca="1" t="shared" si="9"/>
        <v>0</v>
      </c>
      <c r="D28" s="15" t="s">
        <v>18</v>
      </c>
      <c r="E28" s="16" t="s">
        <v>141</v>
      </c>
      <c r="F28" s="13" t="s">
        <v>157</v>
      </c>
      <c r="G28" s="15" t="s">
        <v>158</v>
      </c>
      <c r="H28" s="15" t="s">
        <v>159</v>
      </c>
      <c r="I28" s="15" t="s">
        <v>160</v>
      </c>
      <c r="J28" s="27" t="s">
        <v>161</v>
      </c>
      <c r="K28" s="28">
        <f t="shared" si="10"/>
        <v>8</v>
      </c>
      <c r="L28" s="29" t="s">
        <v>162</v>
      </c>
      <c r="M28" s="29">
        <f t="shared" si="11"/>
        <v>12</v>
      </c>
      <c r="N28" s="13"/>
      <c r="O28" s="13"/>
      <c r="P28" s="13"/>
      <c r="Q28" s="13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</row>
    <row r="29" s="3" customFormat="1" ht="14.5" customHeight="1" spans="1:42">
      <c r="A29" s="41" t="s">
        <v>16</v>
      </c>
      <c r="B29" s="13" t="s">
        <v>163</v>
      </c>
      <c r="C29" s="14">
        <f ca="1" t="shared" si="9"/>
        <v>0</v>
      </c>
      <c r="D29" s="15" t="s">
        <v>18</v>
      </c>
      <c r="E29" s="16" t="s">
        <v>164</v>
      </c>
      <c r="F29" s="13" t="s">
        <v>165</v>
      </c>
      <c r="G29" s="15" t="s">
        <v>166</v>
      </c>
      <c r="H29" s="15" t="s">
        <v>167</v>
      </c>
      <c r="I29" s="15" t="s">
        <v>168</v>
      </c>
      <c r="J29" s="27" t="s">
        <v>169</v>
      </c>
      <c r="K29" s="28">
        <f t="shared" si="10"/>
        <v>3</v>
      </c>
      <c r="L29" s="29" t="s">
        <v>170</v>
      </c>
      <c r="M29" s="29">
        <f t="shared" si="11"/>
        <v>7</v>
      </c>
      <c r="N29" s="13"/>
      <c r="O29" s="13"/>
      <c r="P29" s="13"/>
      <c r="Q29" s="13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</row>
    <row r="30" s="3" customFormat="1" ht="14.5" customHeight="1" spans="1:42">
      <c r="A30" s="41" t="s">
        <v>16</v>
      </c>
      <c r="B30" s="13" t="s">
        <v>171</v>
      </c>
      <c r="C30" s="14">
        <f ca="1" t="shared" si="9"/>
        <v>0</v>
      </c>
      <c r="D30" s="15" t="s">
        <v>18</v>
      </c>
      <c r="E30" s="16" t="s">
        <v>172</v>
      </c>
      <c r="F30" s="13" t="s">
        <v>173</v>
      </c>
      <c r="G30" s="15" t="s">
        <v>174</v>
      </c>
      <c r="H30" s="15" t="s">
        <v>175</v>
      </c>
      <c r="I30" s="15" t="s">
        <v>176</v>
      </c>
      <c r="J30" s="27" t="s">
        <v>177</v>
      </c>
      <c r="K30" s="28">
        <f t="shared" si="10"/>
        <v>4</v>
      </c>
      <c r="L30" s="29" t="s">
        <v>173</v>
      </c>
      <c r="M30" s="29">
        <f t="shared" si="11"/>
        <v>7</v>
      </c>
      <c r="N30" s="13"/>
      <c r="O30" s="13"/>
      <c r="P30" s="13"/>
      <c r="Q30" s="13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</row>
    <row r="31" s="3" customFormat="1" ht="14.5" customHeight="1" spans="1:42">
      <c r="A31" s="41" t="s">
        <v>16</v>
      </c>
      <c r="B31" s="13" t="s">
        <v>178</v>
      </c>
      <c r="C31" s="14">
        <f ca="1" t="shared" si="9"/>
        <v>0</v>
      </c>
      <c r="D31" s="15" t="s">
        <v>18</v>
      </c>
      <c r="E31" s="16" t="s">
        <v>172</v>
      </c>
      <c r="F31" s="13" t="s">
        <v>179</v>
      </c>
      <c r="G31" s="15" t="s">
        <v>180</v>
      </c>
      <c r="H31" s="15" t="s">
        <v>181</v>
      </c>
      <c r="I31" s="15" t="s">
        <v>182</v>
      </c>
      <c r="J31" s="27" t="s">
        <v>183</v>
      </c>
      <c r="K31" s="28">
        <f t="shared" si="10"/>
        <v>5</v>
      </c>
      <c r="L31" s="29" t="s">
        <v>184</v>
      </c>
      <c r="M31" s="29">
        <f t="shared" si="11"/>
        <v>15</v>
      </c>
      <c r="N31" s="13"/>
      <c r="O31" s="13"/>
      <c r="P31" s="13"/>
      <c r="Q31" s="13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</row>
    <row r="32" s="3" customFormat="1" ht="14.5" customHeight="1" spans="1:42">
      <c r="A32" s="41" t="s">
        <v>16</v>
      </c>
      <c r="B32" s="13" t="s">
        <v>185</v>
      </c>
      <c r="C32" s="14">
        <f ca="1" t="shared" si="9"/>
        <v>0</v>
      </c>
      <c r="D32" s="15" t="s">
        <v>18</v>
      </c>
      <c r="E32" s="16" t="s">
        <v>172</v>
      </c>
      <c r="F32" s="13" t="s">
        <v>186</v>
      </c>
      <c r="G32" s="15" t="s">
        <v>187</v>
      </c>
      <c r="H32" s="15" t="s">
        <v>188</v>
      </c>
      <c r="I32" s="15" t="s">
        <v>189</v>
      </c>
      <c r="J32" s="27" t="s">
        <v>190</v>
      </c>
      <c r="K32" s="28">
        <f t="shared" si="10"/>
        <v>5</v>
      </c>
      <c r="L32" s="29" t="s">
        <v>191</v>
      </c>
      <c r="M32" s="29">
        <f t="shared" si="11"/>
        <v>15</v>
      </c>
      <c r="N32" s="13"/>
      <c r="O32" s="13"/>
      <c r="P32" s="13"/>
      <c r="Q32" s="13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</row>
    <row r="33" s="3" customFormat="1" ht="14.5" customHeight="1" spans="1:42">
      <c r="A33" s="41" t="s">
        <v>16</v>
      </c>
      <c r="B33" s="13" t="s">
        <v>192</v>
      </c>
      <c r="C33" s="14">
        <f ca="1" t="shared" si="9"/>
        <v>0</v>
      </c>
      <c r="D33" s="15" t="s">
        <v>18</v>
      </c>
      <c r="E33" s="16" t="s">
        <v>133</v>
      </c>
      <c r="F33" s="13" t="s">
        <v>193</v>
      </c>
      <c r="G33" s="15" t="s">
        <v>194</v>
      </c>
      <c r="H33" s="15" t="s">
        <v>195</v>
      </c>
      <c r="I33" s="15" t="s">
        <v>196</v>
      </c>
      <c r="J33" s="27" t="s">
        <v>197</v>
      </c>
      <c r="K33" s="28">
        <f t="shared" si="10"/>
        <v>4</v>
      </c>
      <c r="L33" s="31" t="s">
        <v>198</v>
      </c>
      <c r="M33" s="29">
        <f t="shared" si="11"/>
        <v>17</v>
      </c>
      <c r="N33" s="13"/>
      <c r="O33" s="13"/>
      <c r="P33" s="13"/>
      <c r="Q33" s="13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</row>
    <row r="34" s="3" customFormat="1" ht="14.5" customHeight="1" spans="1:42">
      <c r="A34" s="41" t="s">
        <v>16</v>
      </c>
      <c r="B34" s="13" t="s">
        <v>199</v>
      </c>
      <c r="C34" s="14">
        <f ca="1" t="shared" si="9"/>
        <v>0</v>
      </c>
      <c r="D34" s="15" t="s">
        <v>18</v>
      </c>
      <c r="E34" s="16" t="s">
        <v>133</v>
      </c>
      <c r="F34" s="13" t="s">
        <v>200</v>
      </c>
      <c r="G34" s="15" t="s">
        <v>201</v>
      </c>
      <c r="H34" s="15" t="s">
        <v>202</v>
      </c>
      <c r="I34" s="15" t="s">
        <v>203</v>
      </c>
      <c r="J34" s="27" t="s">
        <v>204</v>
      </c>
      <c r="K34" s="28">
        <f t="shared" si="10"/>
        <v>5</v>
      </c>
      <c r="L34" s="29" t="s">
        <v>205</v>
      </c>
      <c r="M34" s="29">
        <f t="shared" si="11"/>
        <v>13</v>
      </c>
      <c r="N34" s="13"/>
      <c r="O34" s="13"/>
      <c r="P34" s="13"/>
      <c r="Q34" s="13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</row>
    <row r="35" s="3" customFormat="1" ht="14.5" customHeight="1" spans="1:42">
      <c r="A35" s="41" t="s">
        <v>16</v>
      </c>
      <c r="B35" s="13" t="s">
        <v>206</v>
      </c>
      <c r="C35" s="14">
        <f ca="1" t="shared" si="9"/>
        <v>0</v>
      </c>
      <c r="D35" s="15" t="s">
        <v>18</v>
      </c>
      <c r="E35" s="16" t="s">
        <v>133</v>
      </c>
      <c r="F35" s="13" t="s">
        <v>207</v>
      </c>
      <c r="G35" s="15" t="s">
        <v>208</v>
      </c>
      <c r="H35" s="15" t="s">
        <v>209</v>
      </c>
      <c r="I35" s="15" t="s">
        <v>210</v>
      </c>
      <c r="J35" s="27" t="s">
        <v>211</v>
      </c>
      <c r="K35" s="28">
        <f t="shared" si="10"/>
        <v>5</v>
      </c>
      <c r="L35" s="29" t="s">
        <v>212</v>
      </c>
      <c r="M35" s="29">
        <f t="shared" si="11"/>
        <v>19</v>
      </c>
      <c r="N35" s="13"/>
      <c r="O35" s="13"/>
      <c r="P35" s="13"/>
      <c r="Q35" s="13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</row>
    <row r="36" s="4" customFormat="1" ht="14.5" customHeight="1" spans="1:42">
      <c r="A36" s="42" t="s">
        <v>16</v>
      </c>
      <c r="B36" s="18" t="s">
        <v>213</v>
      </c>
      <c r="C36" s="19">
        <f ca="1" t="shared" si="9"/>
        <v>0</v>
      </c>
      <c r="D36" s="20" t="s">
        <v>18</v>
      </c>
      <c r="E36" s="21" t="s">
        <v>214</v>
      </c>
      <c r="F36" s="18" t="s">
        <v>215</v>
      </c>
      <c r="G36" s="15" t="s">
        <v>216</v>
      </c>
      <c r="H36" s="15" t="s">
        <v>217</v>
      </c>
      <c r="I36" s="15" t="s">
        <v>218</v>
      </c>
      <c r="J36" s="32" t="s">
        <v>219</v>
      </c>
      <c r="K36" s="33">
        <f t="shared" si="10"/>
        <v>7</v>
      </c>
      <c r="L36" s="34" t="s">
        <v>220</v>
      </c>
      <c r="M36" s="34">
        <f t="shared" si="11"/>
        <v>13</v>
      </c>
      <c r="N36" s="18"/>
      <c r="O36" s="18"/>
      <c r="P36" s="18"/>
      <c r="Q36" s="18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</row>
    <row r="37" s="2" customFormat="1" ht="14.5" customHeight="1" spans="1:21">
      <c r="A37" s="7"/>
      <c r="B37" s="8"/>
      <c r="C37" s="9"/>
      <c r="D37" s="10"/>
      <c r="E37" s="11"/>
      <c r="F37" s="11"/>
      <c r="G37" s="15"/>
      <c r="H37" s="15"/>
      <c r="I37" s="15"/>
      <c r="J37" s="23"/>
      <c r="K37" s="24"/>
      <c r="L37" s="25"/>
      <c r="M37" s="25"/>
      <c r="N37" s="8"/>
      <c r="O37" s="26"/>
      <c r="P37" s="8"/>
      <c r="Q37" s="26"/>
      <c r="R37" s="8"/>
      <c r="S37" s="38"/>
      <c r="T37" s="8"/>
      <c r="U37" s="38"/>
    </row>
    <row r="38" s="3" customFormat="1" ht="14.5" customHeight="1" spans="1:42">
      <c r="A38" s="41" t="s">
        <v>16</v>
      </c>
      <c r="B38" s="13" t="s">
        <v>221</v>
      </c>
      <c r="C38" s="14">
        <f ca="1" t="shared" ref="C38:C45" si="12">IF(B38="","",IF(C38&lt;&gt;"",C38,NOW()))</f>
        <v>0</v>
      </c>
      <c r="D38" s="15" t="s">
        <v>18</v>
      </c>
      <c r="E38" s="16">
        <v>1</v>
      </c>
      <c r="F38" s="13" t="s">
        <v>222</v>
      </c>
      <c r="G38" s="15" t="s">
        <v>223</v>
      </c>
      <c r="H38" s="15" t="s">
        <v>224</v>
      </c>
      <c r="I38" s="15" t="s">
        <v>225</v>
      </c>
      <c r="J38" s="27" t="s">
        <v>226</v>
      </c>
      <c r="K38" s="28">
        <f t="shared" ref="K38:K45" si="13">LEN(J38)</f>
        <v>3</v>
      </c>
      <c r="L38" s="29" t="s">
        <v>222</v>
      </c>
      <c r="M38" s="29">
        <f t="shared" ref="M38:M45" si="14">LEN(L38)</f>
        <v>4</v>
      </c>
      <c r="N38" s="13"/>
      <c r="O38" s="13"/>
      <c r="P38" s="13"/>
      <c r="Q38" s="13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</row>
    <row r="39" s="3" customFormat="1" ht="14.5" customHeight="1" spans="1:42">
      <c r="A39" s="41" t="s">
        <v>16</v>
      </c>
      <c r="B39" s="13" t="s">
        <v>227</v>
      </c>
      <c r="C39" s="14">
        <f ca="1" t="shared" si="12"/>
        <v>0</v>
      </c>
      <c r="D39" s="15" t="s">
        <v>18</v>
      </c>
      <c r="E39" s="16" t="s">
        <v>228</v>
      </c>
      <c r="F39" s="13" t="s">
        <v>229</v>
      </c>
      <c r="G39" s="15" t="s">
        <v>230</v>
      </c>
      <c r="H39" s="15" t="s">
        <v>231</v>
      </c>
      <c r="I39" s="15" t="s">
        <v>232</v>
      </c>
      <c r="J39" s="27" t="s">
        <v>233</v>
      </c>
      <c r="K39" s="28">
        <f t="shared" si="13"/>
        <v>5</v>
      </c>
      <c r="L39" s="29" t="s">
        <v>234</v>
      </c>
      <c r="M39" s="29">
        <f t="shared" si="14"/>
        <v>18</v>
      </c>
      <c r="N39" s="13"/>
      <c r="O39" s="13"/>
      <c r="P39" s="13"/>
      <c r="Q39" s="13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</row>
    <row r="40" s="3" customFormat="1" ht="14.5" customHeight="1" spans="1:42">
      <c r="A40" s="41" t="s">
        <v>16</v>
      </c>
      <c r="B40" s="13" t="s">
        <v>235</v>
      </c>
      <c r="C40" s="14">
        <f ca="1" t="shared" si="12"/>
        <v>0</v>
      </c>
      <c r="D40" s="15" t="s">
        <v>18</v>
      </c>
      <c r="E40" s="16" t="s">
        <v>228</v>
      </c>
      <c r="F40" s="13" t="s">
        <v>236</v>
      </c>
      <c r="G40" s="15" t="s">
        <v>237</v>
      </c>
      <c r="H40" s="15" t="s">
        <v>238</v>
      </c>
      <c r="I40" s="15" t="s">
        <v>239</v>
      </c>
      <c r="J40" s="27" t="s">
        <v>240</v>
      </c>
      <c r="K40" s="28">
        <f t="shared" si="13"/>
        <v>5</v>
      </c>
      <c r="L40" s="29" t="s">
        <v>241</v>
      </c>
      <c r="M40" s="29">
        <f t="shared" si="14"/>
        <v>16</v>
      </c>
      <c r="N40" s="35"/>
      <c r="O40" s="13"/>
      <c r="P40" s="13"/>
      <c r="Q40" s="13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</row>
    <row r="41" s="3" customFormat="1" ht="14.5" customHeight="1" spans="1:42">
      <c r="A41" s="41" t="s">
        <v>16</v>
      </c>
      <c r="B41" s="13" t="s">
        <v>242</v>
      </c>
      <c r="C41" s="14">
        <f ca="1" t="shared" si="12"/>
        <v>0</v>
      </c>
      <c r="D41" s="15" t="s">
        <v>18</v>
      </c>
      <c r="E41" s="16" t="s">
        <v>228</v>
      </c>
      <c r="F41" s="13" t="s">
        <v>243</v>
      </c>
      <c r="G41" s="15" t="s">
        <v>244</v>
      </c>
      <c r="H41" s="15" t="s">
        <v>245</v>
      </c>
      <c r="I41" s="15" t="s">
        <v>246</v>
      </c>
      <c r="J41" s="27" t="s">
        <v>247</v>
      </c>
      <c r="K41" s="28">
        <f t="shared" si="13"/>
        <v>5</v>
      </c>
      <c r="L41" s="29" t="s">
        <v>248</v>
      </c>
      <c r="M41" s="29">
        <f t="shared" si="14"/>
        <v>10</v>
      </c>
      <c r="N41" s="13"/>
      <c r="O41" s="13"/>
      <c r="P41" s="13"/>
      <c r="Q41" s="13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</row>
    <row r="42" s="3" customFormat="1" ht="14.5" customHeight="1" spans="1:42">
      <c r="A42" s="41" t="s">
        <v>16</v>
      </c>
      <c r="B42" s="13" t="s">
        <v>249</v>
      </c>
      <c r="C42" s="14">
        <f ca="1" t="shared" si="12"/>
        <v>0</v>
      </c>
      <c r="D42" s="15" t="s">
        <v>18</v>
      </c>
      <c r="E42" s="16" t="s">
        <v>228</v>
      </c>
      <c r="F42" s="13" t="s">
        <v>250</v>
      </c>
      <c r="G42" s="15" t="s">
        <v>251</v>
      </c>
      <c r="H42" s="15" t="s">
        <v>252</v>
      </c>
      <c r="I42" s="15" t="s">
        <v>253</v>
      </c>
      <c r="J42" s="27" t="s">
        <v>254</v>
      </c>
      <c r="K42" s="28">
        <f t="shared" si="13"/>
        <v>5</v>
      </c>
      <c r="L42" s="31" t="s">
        <v>255</v>
      </c>
      <c r="M42" s="29">
        <f t="shared" si="14"/>
        <v>14</v>
      </c>
      <c r="N42" s="13"/>
      <c r="O42" s="13"/>
      <c r="P42" s="13"/>
      <c r="Q42" s="13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</row>
    <row r="43" s="3" customFormat="1" ht="14.5" customHeight="1" spans="1:42">
      <c r="A43" s="41" t="s">
        <v>16</v>
      </c>
      <c r="B43" s="13" t="s">
        <v>256</v>
      </c>
      <c r="C43" s="14">
        <f ca="1" t="shared" si="12"/>
        <v>0</v>
      </c>
      <c r="D43" s="15" t="s">
        <v>18</v>
      </c>
      <c r="E43" s="16" t="s">
        <v>228</v>
      </c>
      <c r="F43" s="13" t="s">
        <v>257</v>
      </c>
      <c r="G43" s="15" t="s">
        <v>258</v>
      </c>
      <c r="H43" s="15" t="s">
        <v>259</v>
      </c>
      <c r="I43" s="15" t="s">
        <v>260</v>
      </c>
      <c r="J43" s="27" t="s">
        <v>261</v>
      </c>
      <c r="K43" s="28">
        <f t="shared" si="13"/>
        <v>5</v>
      </c>
      <c r="L43" s="29" t="s">
        <v>262</v>
      </c>
      <c r="M43" s="29">
        <f t="shared" si="14"/>
        <v>19</v>
      </c>
      <c r="N43" s="13"/>
      <c r="O43" s="13"/>
      <c r="P43" s="13"/>
      <c r="Q43" s="13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</row>
    <row r="44" s="3" customFormat="1" ht="14.5" customHeight="1" spans="1:42">
      <c r="A44" s="41" t="s">
        <v>16</v>
      </c>
      <c r="B44" s="13" t="s">
        <v>263</v>
      </c>
      <c r="C44" s="14">
        <f ca="1" t="shared" si="12"/>
        <v>0</v>
      </c>
      <c r="D44" s="15" t="s">
        <v>18</v>
      </c>
      <c r="E44" s="16" t="s">
        <v>228</v>
      </c>
      <c r="F44" s="13" t="s">
        <v>264</v>
      </c>
      <c r="G44" s="15" t="s">
        <v>265</v>
      </c>
      <c r="H44" s="15" t="s">
        <v>266</v>
      </c>
      <c r="I44" s="15" t="s">
        <v>267</v>
      </c>
      <c r="J44" s="27" t="s">
        <v>268</v>
      </c>
      <c r="K44" s="28">
        <f t="shared" si="13"/>
        <v>4</v>
      </c>
      <c r="L44" s="29" t="s">
        <v>269</v>
      </c>
      <c r="M44" s="29">
        <f t="shared" si="14"/>
        <v>10</v>
      </c>
      <c r="N44" s="13"/>
      <c r="O44" s="13"/>
      <c r="P44" s="13"/>
      <c r="Q44" s="13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</row>
    <row r="45" s="3" customFormat="1" ht="14.5" customHeight="1" spans="1:42">
      <c r="A45" s="41" t="s">
        <v>16</v>
      </c>
      <c r="B45" s="13" t="s">
        <v>270</v>
      </c>
      <c r="C45" s="14">
        <f ca="1" t="shared" si="12"/>
        <v>0</v>
      </c>
      <c r="D45" s="15" t="s">
        <v>18</v>
      </c>
      <c r="E45" s="16" t="s">
        <v>228</v>
      </c>
      <c r="F45" s="13" t="s">
        <v>271</v>
      </c>
      <c r="G45" s="15" t="s">
        <v>272</v>
      </c>
      <c r="H45" s="15" t="s">
        <v>273</v>
      </c>
      <c r="I45" s="15" t="s">
        <v>274</v>
      </c>
      <c r="J45" s="27" t="s">
        <v>271</v>
      </c>
      <c r="K45" s="28">
        <f t="shared" si="13"/>
        <v>3</v>
      </c>
      <c r="L45" s="29" t="s">
        <v>271</v>
      </c>
      <c r="M45" s="29">
        <f t="shared" si="14"/>
        <v>3</v>
      </c>
      <c r="N45" s="13"/>
      <c r="O45" s="13"/>
      <c r="P45" s="13"/>
      <c r="Q45" s="13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</row>
    <row r="46" s="2" customFormat="1" ht="14.5" customHeight="1" spans="1:21">
      <c r="A46" s="7"/>
      <c r="B46" s="8"/>
      <c r="C46" s="9"/>
      <c r="D46" s="10"/>
      <c r="E46" s="11"/>
      <c r="F46" s="11"/>
      <c r="G46" s="15"/>
      <c r="H46" s="15"/>
      <c r="I46" s="15"/>
      <c r="J46" s="23"/>
      <c r="K46" s="24"/>
      <c r="L46" s="25"/>
      <c r="M46" s="25"/>
      <c r="N46" s="36"/>
      <c r="O46" s="26"/>
      <c r="P46" s="8"/>
      <c r="Q46" s="26"/>
      <c r="R46" s="8"/>
      <c r="S46" s="38"/>
      <c r="T46" s="8"/>
      <c r="U46" s="38"/>
    </row>
    <row r="47" s="3" customFormat="1" ht="14.5" customHeight="1" spans="1:42">
      <c r="A47" s="41" t="s">
        <v>16</v>
      </c>
      <c r="B47" s="13" t="s">
        <v>275</v>
      </c>
      <c r="C47" s="14">
        <f ca="1" t="shared" ref="C47:C56" si="15">IF(B47="","",IF(C47&lt;&gt;"",C47,NOW()))</f>
        <v>0</v>
      </c>
      <c r="D47" s="15" t="s">
        <v>18</v>
      </c>
      <c r="E47" s="16">
        <v>1</v>
      </c>
      <c r="F47" s="13" t="s">
        <v>276</v>
      </c>
      <c r="G47" s="15" t="s">
        <v>277</v>
      </c>
      <c r="H47" s="15" t="s">
        <v>278</v>
      </c>
      <c r="I47" s="15" t="s">
        <v>279</v>
      </c>
      <c r="J47" s="27" t="s">
        <v>280</v>
      </c>
      <c r="K47" s="28">
        <f t="shared" ref="K47:K56" si="16">LEN(J47)</f>
        <v>3</v>
      </c>
      <c r="L47" s="29" t="s">
        <v>276</v>
      </c>
      <c r="M47" s="29">
        <f t="shared" ref="M47:M56" si="17">LEN(L47)</f>
        <v>8</v>
      </c>
      <c r="N47" s="35"/>
      <c r="O47" s="13"/>
      <c r="P47" s="13"/>
      <c r="Q47" s="13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</row>
    <row r="48" s="3" customFormat="1" ht="14.5" customHeight="1" spans="1:42">
      <c r="A48" s="41" t="s">
        <v>16</v>
      </c>
      <c r="B48" s="13" t="s">
        <v>281</v>
      </c>
      <c r="C48" s="14">
        <f ca="1" t="shared" si="15"/>
        <v>0</v>
      </c>
      <c r="D48" s="15" t="s">
        <v>18</v>
      </c>
      <c r="E48" s="16" t="s">
        <v>282</v>
      </c>
      <c r="F48" s="13" t="s">
        <v>283</v>
      </c>
      <c r="G48" s="15" t="s">
        <v>284</v>
      </c>
      <c r="H48" s="15" t="s">
        <v>285</v>
      </c>
      <c r="I48" s="15" t="s">
        <v>286</v>
      </c>
      <c r="J48" s="27" t="s">
        <v>287</v>
      </c>
      <c r="K48" s="28">
        <f t="shared" si="16"/>
        <v>5</v>
      </c>
      <c r="L48" s="31" t="s">
        <v>288</v>
      </c>
      <c r="M48" s="29">
        <f t="shared" si="17"/>
        <v>15</v>
      </c>
      <c r="N48" s="35"/>
      <c r="O48" s="13"/>
      <c r="P48" s="13"/>
      <c r="Q48" s="13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</row>
    <row r="49" s="3" customFormat="1" ht="14.5" customHeight="1" spans="1:42">
      <c r="A49" s="41" t="s">
        <v>16</v>
      </c>
      <c r="B49" s="13" t="s">
        <v>289</v>
      </c>
      <c r="C49" s="14">
        <f ca="1" t="shared" si="15"/>
        <v>0</v>
      </c>
      <c r="D49" s="15" t="s">
        <v>18</v>
      </c>
      <c r="E49" s="16" t="s">
        <v>282</v>
      </c>
      <c r="F49" s="13" t="s">
        <v>290</v>
      </c>
      <c r="G49" s="15" t="s">
        <v>291</v>
      </c>
      <c r="H49" s="15" t="s">
        <v>292</v>
      </c>
      <c r="I49" s="15" t="s">
        <v>293</v>
      </c>
      <c r="J49" s="27" t="s">
        <v>294</v>
      </c>
      <c r="K49" s="28">
        <f t="shared" si="16"/>
        <v>5</v>
      </c>
      <c r="L49" s="29" t="s">
        <v>295</v>
      </c>
      <c r="M49" s="29">
        <f t="shared" si="17"/>
        <v>19</v>
      </c>
      <c r="N49" s="35"/>
      <c r="O49" s="13"/>
      <c r="P49" s="13"/>
      <c r="Q49" s="13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</row>
    <row r="50" s="3" customFormat="1" ht="14.5" customHeight="1" spans="1:42">
      <c r="A50" s="41" t="s">
        <v>16</v>
      </c>
      <c r="B50" s="13" t="s">
        <v>296</v>
      </c>
      <c r="C50" s="14">
        <f ca="1" t="shared" si="15"/>
        <v>0</v>
      </c>
      <c r="D50" s="15" t="s">
        <v>18</v>
      </c>
      <c r="E50" s="16" t="s">
        <v>282</v>
      </c>
      <c r="F50" s="13" t="s">
        <v>297</v>
      </c>
      <c r="G50" s="15" t="s">
        <v>298</v>
      </c>
      <c r="H50" s="15" t="s">
        <v>299</v>
      </c>
      <c r="I50" s="15" t="s">
        <v>300</v>
      </c>
      <c r="J50" s="27" t="s">
        <v>23</v>
      </c>
      <c r="K50" s="28">
        <f t="shared" si="16"/>
        <v>3</v>
      </c>
      <c r="L50" s="29" t="s">
        <v>301</v>
      </c>
      <c r="M50" s="29">
        <f t="shared" si="17"/>
        <v>20</v>
      </c>
      <c r="N50" s="35"/>
      <c r="O50" s="13"/>
      <c r="P50" s="13"/>
      <c r="Q50" s="13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</row>
    <row r="51" s="3" customFormat="1" ht="14.5" customHeight="1" spans="1:42">
      <c r="A51" s="41" t="s">
        <v>16</v>
      </c>
      <c r="B51" s="13" t="s">
        <v>302</v>
      </c>
      <c r="C51" s="14">
        <f ca="1" t="shared" si="15"/>
        <v>0</v>
      </c>
      <c r="D51" s="15" t="s">
        <v>18</v>
      </c>
      <c r="E51" s="16" t="s">
        <v>303</v>
      </c>
      <c r="F51" s="13" t="s">
        <v>304</v>
      </c>
      <c r="G51" s="15" t="s">
        <v>305</v>
      </c>
      <c r="H51" s="15" t="s">
        <v>306</v>
      </c>
      <c r="I51" s="15" t="s">
        <v>307</v>
      </c>
      <c r="J51" s="27" t="s">
        <v>308</v>
      </c>
      <c r="K51" s="28">
        <f t="shared" si="16"/>
        <v>4</v>
      </c>
      <c r="L51" s="29" t="s">
        <v>309</v>
      </c>
      <c r="M51" s="29">
        <f t="shared" si="17"/>
        <v>16</v>
      </c>
      <c r="N51" s="35"/>
      <c r="O51" s="13"/>
      <c r="P51" s="13"/>
      <c r="Q51" s="13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</row>
    <row r="52" s="3" customFormat="1" ht="14.5" customHeight="1" spans="1:42">
      <c r="A52" s="41" t="s">
        <v>16</v>
      </c>
      <c r="B52" s="13" t="s">
        <v>310</v>
      </c>
      <c r="C52" s="14">
        <f ca="1" t="shared" si="15"/>
        <v>0</v>
      </c>
      <c r="D52" s="15" t="s">
        <v>18</v>
      </c>
      <c r="E52" s="16" t="s">
        <v>303</v>
      </c>
      <c r="F52" s="13" t="s">
        <v>311</v>
      </c>
      <c r="G52" s="15" t="s">
        <v>312</v>
      </c>
      <c r="H52" s="15" t="s">
        <v>313</v>
      </c>
      <c r="I52" s="15" t="s">
        <v>314</v>
      </c>
      <c r="J52" s="27" t="s">
        <v>315</v>
      </c>
      <c r="K52" s="28">
        <f t="shared" si="16"/>
        <v>3</v>
      </c>
      <c r="L52" s="29" t="s">
        <v>316</v>
      </c>
      <c r="M52" s="29">
        <f t="shared" si="17"/>
        <v>12</v>
      </c>
      <c r="N52" s="35"/>
      <c r="O52" s="13"/>
      <c r="P52" s="13"/>
      <c r="Q52" s="13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</row>
    <row r="53" s="3" customFormat="1" ht="14.5" customHeight="1" spans="1:42">
      <c r="A53" s="41" t="s">
        <v>16</v>
      </c>
      <c r="B53" s="13" t="s">
        <v>317</v>
      </c>
      <c r="C53" s="14">
        <f ca="1" t="shared" si="15"/>
        <v>0</v>
      </c>
      <c r="D53" s="15" t="s">
        <v>18</v>
      </c>
      <c r="E53" s="16" t="s">
        <v>303</v>
      </c>
      <c r="F53" s="13" t="s">
        <v>318</v>
      </c>
      <c r="G53" s="15" t="s">
        <v>319</v>
      </c>
      <c r="H53" s="15" t="s">
        <v>320</v>
      </c>
      <c r="I53" s="15" t="s">
        <v>321</v>
      </c>
      <c r="J53" s="27" t="s">
        <v>90</v>
      </c>
      <c r="K53" s="28">
        <f t="shared" si="16"/>
        <v>3</v>
      </c>
      <c r="L53" s="29" t="s">
        <v>86</v>
      </c>
      <c r="M53" s="29">
        <f t="shared" si="17"/>
        <v>5</v>
      </c>
      <c r="N53" s="35"/>
      <c r="O53" s="13"/>
      <c r="P53" s="13"/>
      <c r="Q53" s="13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</row>
    <row r="54" s="3" customFormat="1" ht="14.5" customHeight="1" spans="1:42">
      <c r="A54" s="41" t="s">
        <v>16</v>
      </c>
      <c r="B54" s="13" t="s">
        <v>322</v>
      </c>
      <c r="C54" s="14">
        <f ca="1" t="shared" si="15"/>
        <v>0</v>
      </c>
      <c r="D54" s="15" t="s">
        <v>18</v>
      </c>
      <c r="E54" s="16" t="s">
        <v>303</v>
      </c>
      <c r="F54" s="13" t="s">
        <v>323</v>
      </c>
      <c r="G54" s="15" t="s">
        <v>324</v>
      </c>
      <c r="H54" s="15" t="s">
        <v>325</v>
      </c>
      <c r="I54" s="15" t="s">
        <v>326</v>
      </c>
      <c r="J54" s="27" t="s">
        <v>327</v>
      </c>
      <c r="K54" s="28">
        <f t="shared" si="16"/>
        <v>3</v>
      </c>
      <c r="L54" s="29" t="s">
        <v>92</v>
      </c>
      <c r="M54" s="29">
        <f t="shared" si="17"/>
        <v>6</v>
      </c>
      <c r="N54" s="13"/>
      <c r="O54" s="13"/>
      <c r="P54" s="13"/>
      <c r="Q54" s="13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</row>
    <row r="55" s="3" customFormat="1" ht="14.5" customHeight="1" spans="1:42">
      <c r="A55" s="41" t="s">
        <v>16</v>
      </c>
      <c r="B55" s="13" t="s">
        <v>328</v>
      </c>
      <c r="C55" s="14">
        <f ca="1" t="shared" si="15"/>
        <v>0</v>
      </c>
      <c r="D55" s="15" t="s">
        <v>18</v>
      </c>
      <c r="E55" s="16" t="s">
        <v>303</v>
      </c>
      <c r="F55" s="13" t="s">
        <v>329</v>
      </c>
      <c r="G55" s="15" t="s">
        <v>330</v>
      </c>
      <c r="H55" s="15" t="s">
        <v>331</v>
      </c>
      <c r="I55" s="15" t="s">
        <v>332</v>
      </c>
      <c r="J55" s="27" t="s">
        <v>109</v>
      </c>
      <c r="K55" s="28">
        <f t="shared" si="16"/>
        <v>4</v>
      </c>
      <c r="L55" s="37" t="s">
        <v>110</v>
      </c>
      <c r="M55" s="29">
        <f t="shared" si="17"/>
        <v>17</v>
      </c>
      <c r="N55" s="13"/>
      <c r="O55" s="13"/>
      <c r="P55" s="13"/>
      <c r="Q55" s="13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</row>
    <row r="56" s="3" customFormat="1" ht="14.5" customHeight="1" spans="1:42">
      <c r="A56" s="41" t="s">
        <v>16</v>
      </c>
      <c r="B56" s="13" t="s">
        <v>333</v>
      </c>
      <c r="C56" s="14">
        <f ca="1" t="shared" si="15"/>
        <v>0</v>
      </c>
      <c r="D56" s="15" t="s">
        <v>18</v>
      </c>
      <c r="E56" s="16" t="s">
        <v>334</v>
      </c>
      <c r="F56" s="13" t="s">
        <v>335</v>
      </c>
      <c r="G56" s="15" t="s">
        <v>336</v>
      </c>
      <c r="H56" s="15" t="s">
        <v>337</v>
      </c>
      <c r="I56" s="15" t="s">
        <v>338</v>
      </c>
      <c r="J56" s="27" t="s">
        <v>339</v>
      </c>
      <c r="K56" s="28">
        <f t="shared" si="16"/>
        <v>4</v>
      </c>
      <c r="L56" s="29" t="s">
        <v>340</v>
      </c>
      <c r="M56" s="29">
        <f t="shared" si="17"/>
        <v>9</v>
      </c>
      <c r="N56" s="13"/>
      <c r="O56" s="13"/>
      <c r="P56" s="13"/>
      <c r="Q56" s="13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</row>
  </sheetData>
  <mergeCells count="13">
    <mergeCell ref="J1:K1"/>
    <mergeCell ref="L1:M1"/>
    <mergeCell ref="N1:O1"/>
    <mergeCell ref="P1:Q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dataValidations count="2">
    <dataValidation type="list" allowBlank="1" showInputMessage="1" showErrorMessage="1" sqref="A4:A22 A24:A36 A38:A45 A47:A56 D4:D22 D24:D36 D38:D45 D47:D56">
      <formula1>#REF!</formula1>
    </dataValidation>
    <dataValidation type="custom" allowBlank="1" showInputMessage="1" showErrorMessage="1" errorTitle="重复的ABBR" error="Abbr是唯一标志码，不能重复。" sqref="B1:B42 B44:B56">
      <formula1>COUNTIF($B:$B,B1)=1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惠岩</cp:lastModifiedBy>
  <dcterms:created xsi:type="dcterms:W3CDTF">2025-06-09T10:30:00Z</dcterms:created>
  <dcterms:modified xsi:type="dcterms:W3CDTF">2025-06-10T11:48:44Z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F5DD66D6A81043D5B38C25ED3CE06880_11</vt:lpwstr>
  </property>
  <property fmtid="{D5CDD505-2E9C-101B-9397-08002B2CF9AE}" pid="3" name="KSOProductBuildVer">
    <vt:lpwstr>2052-12.1.0.21541</vt:lpwstr>
  </property>
</Properties>
</file>